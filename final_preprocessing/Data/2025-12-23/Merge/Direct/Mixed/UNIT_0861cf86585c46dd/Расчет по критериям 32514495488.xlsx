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asty\YandexDisk\5_Парки\"/>
    </mc:Choice>
  </mc:AlternateContent>
  <bookViews>
    <workbookView xWindow="0" yWindow="0" windowWidth="23040" windowHeight="9192"/>
  </bookViews>
  <sheets>
    <sheet name="Квалификация" sheetId="1" r:id="rId1"/>
    <sheet name="Лист1" sheetId="2" r:id="rId2"/>
  </sheets>
  <definedNames>
    <definedName name="_xlnm.Print_Area" localSheetId="0">Квалификация!$A$2:$H$5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1" l="1"/>
  <c r="D9" i="1"/>
  <c r="E9" i="1" s="1"/>
  <c r="D8" i="1"/>
  <c r="G4" i="1"/>
  <c r="G5" i="1" l="1"/>
  <c r="H4" i="1" l="1"/>
  <c r="C11" i="1" l="1"/>
  <c r="G205" i="2" l="1"/>
  <c r="G163" i="2"/>
  <c r="G204" i="2"/>
  <c r="G102" i="2"/>
  <c r="G56" i="2"/>
  <c r="H5" i="1" l="1"/>
  <c r="C12" i="1" s="1"/>
</calcChain>
</file>

<file path=xl/sharedStrings.xml><?xml version="1.0" encoding="utf-8"?>
<sst xmlns="http://schemas.openxmlformats.org/spreadsheetml/2006/main" count="348" uniqueCount="209">
  <si>
    <t>Идентификационный номер заявки</t>
  </si>
  <si>
    <t>Порядковый номер заявки</t>
  </si>
  <si>
    <t>Оценка без учета значимости 
(БХi)</t>
  </si>
  <si>
    <t>Оценка заявок участников электронного конкурса</t>
  </si>
  <si>
    <t xml:space="preserve">Значимость показателя </t>
  </si>
  <si>
    <t>Значимость критерия</t>
  </si>
  <si>
    <r>
      <t xml:space="preserve">Предложение участника закупки по критерию оценки (показателю), </t>
    </r>
    <r>
      <rPr>
        <b/>
        <u/>
        <sz val="12"/>
        <color rgb="FFFF0000"/>
        <rFont val="Times New Roman"/>
        <family val="1"/>
        <charset val="204"/>
      </rPr>
      <t>принятое Комиссией к оценке</t>
    </r>
    <r>
      <rPr>
        <b/>
        <sz val="12"/>
        <color theme="1"/>
        <rFont val="Times New Roman"/>
        <family val="1"/>
        <charset val="204"/>
      </rPr>
      <t xml:space="preserve"> (руб.) (Хi)</t>
    </r>
  </si>
  <si>
    <r>
      <t xml:space="preserve">Минимальное предложение из предложений по критерию оценки (показателю), </t>
    </r>
    <r>
      <rPr>
        <b/>
        <u/>
        <sz val="12"/>
        <color rgb="FFFF0000"/>
        <rFont val="Times New Roman"/>
        <family val="1"/>
        <charset val="204"/>
      </rPr>
      <t>принятое Комиссией к оценке</t>
    </r>
    <r>
      <rPr>
        <b/>
        <sz val="12"/>
        <rFont val="Times New Roman"/>
        <family val="1"/>
        <charset val="204"/>
      </rPr>
      <t xml:space="preserve"> (руб.) (Хmin)</t>
    </r>
  </si>
  <si>
    <t>Примечание</t>
  </si>
  <si>
    <t>ООО "РСГРУПП"</t>
  </si>
  <si>
    <t>2019 г</t>
  </si>
  <si>
    <t>№</t>
  </si>
  <si>
    <t xml:space="preserve">Номер, дата, предмет договора </t>
  </si>
  <si>
    <t>Заказчик</t>
  </si>
  <si>
    <t>Номер процедуры закупки в ЕИС, по результатам которой заключен договор</t>
  </si>
  <si>
    <t>Дата исполнения договора</t>
  </si>
  <si>
    <t>Сумма договора, в руб.</t>
  </si>
  <si>
    <t>Сумма выполненных работ по актам, в руб.</t>
  </si>
  <si>
    <t>Выполнение работ по проведению планово-предупредительного (текущего) ремонта внутренних помещений в ГБУ "МГФСО" Москомспорта по адресу: г. Москва, ул. Кировоградская, д. 10А</t>
  </si>
  <si>
    <t>№0373200068619000248 _48808 от 02.12.2019 г.</t>
  </si>
  <si>
    <t>ГКУ "ДЭСЗС" ДЕПАРТАМЕНТА СПОРТА Г. МОСКВЫ ИНН 7705412327</t>
  </si>
  <si>
    <t>Выполнение работ по проведению текущего ремонта помещений 2-го этажа в ГБУ "Московская баскетбольная академия" Москомспорта по адресу: г. Москва, ул. 800-летия Москвы, д.7 Б</t>
  </si>
  <si>
    <t>№0373200068619000264 _48808 от 02.12.2019 г.</t>
  </si>
  <si>
    <t>Выполнение работ по проведению планово-предупредительного (текущего) ремонта в ГБУ "МГФСО" Москомспорта по адресу: г. Москва, ул. Борисовские пруды, д. 29 №0373200068619000280 _48808 от 02.12.2019 г.</t>
  </si>
  <si>
    <t>Выполнение работ по проведению планово-предупредительного (текущего) ремонта в ГБУ "СШОР "Трудовые резервы" Москомспорта по адресу: г. Москва, ул. Нижняя Первомайская, д. 52, стр.10, ГБУ "СШОР "Хлебниково" Москомспорта по адресу: Московская обл., Мытищинский район, с/о Виноградовский, 1-2 квартал Хлебниково</t>
  </si>
  <si>
    <t>№0373200068619000257_48808 от 09.12.2019 г.</t>
  </si>
  <si>
    <t>Выполнение работ по проведению планово-предупредительного (текущего) ремонта в ГБУ "МГФСО" Москомспорта по адресу: г. Москва, ул. Кировоградская, дом 10А</t>
  </si>
  <si>
    <t>№ 0373200068619000160_48808 от 05.08.2019 г.</t>
  </si>
  <si>
    <t>Договор на выполнение работ по обслуживанию территории подстанций для нужд Северных электрических сетей в 2016г. – филиала ПАО «МОЭСК»</t>
  </si>
  <si>
    <t>№57724646338160001440000 от 16.12.19</t>
  </si>
  <si>
    <t>АО "Завод Рэто"</t>
  </si>
  <si>
    <t>-</t>
  </si>
  <si>
    <t>Модернизация систем уличного освещения Гремяченского сельского поселения Хохольского муниципального района Воронежской области №003 от 05.07.19</t>
  </si>
  <si>
    <t>Администрация Гремяченского Сельского Поселения</t>
  </si>
  <si>
    <t>Работы по монтажу систем освещения и сигнализации автомобильных дорог, аэропортов и портов №01313000210190000310001 от 17.06.19</t>
  </si>
  <si>
    <t>Администрация Верхнехавского Сельского Поселения Верхнехавского Муниципального района Воронежской области</t>
  </si>
  <si>
    <t>Модернизация систем уличного освещения Старокриушанского сельского поселения Петропавловского муниципального района Воронежской области</t>
  </si>
  <si>
    <t>№01313000210190000310001 от 09.07.19</t>
  </si>
  <si>
    <t xml:space="preserve">Администрация Старокриушанского Сельского Поселения Петропавловского Муниципального района Воронежской области </t>
  </si>
  <si>
    <t>Модернизация наружного освещения Коленовского сельского поселения</t>
  </si>
  <si>
    <t>б/н 05.09.2019</t>
  </si>
  <si>
    <t xml:space="preserve">Администрация Коленовского Сельского Поселения Новохоперского Муниципального района Воронежской области </t>
  </si>
  <si>
    <t>Модернизация систем уличного освещения Верхнекарачанского сельского поселения Грибановского муниципального района Воронежской области</t>
  </si>
  <si>
    <t>№01313000191190001200001  от 29.07.2019</t>
  </si>
  <si>
    <t>Администрация Верхнекарачанского Сельского Поселения Грибановского Муниципального района Воронежской области</t>
  </si>
  <si>
    <t>Модернизация систем уличного освещения Нижнекарачанского сельского поселения Грибановского муниципального района Воронежской области</t>
  </si>
  <si>
    <t>б/н от 19.07.2019</t>
  </si>
  <si>
    <t>Администрация Нижнекарачанского Сельского Поселения Грибановского Муниципального района Воронежской области</t>
  </si>
  <si>
    <t>Модернизация наружного освещения Углянского сельского поселения Верхнехавского муниципального района Воронежской области</t>
  </si>
  <si>
    <t>№0131300021019000030001 от 17.06.2019</t>
  </si>
  <si>
    <t>Администрация Углянского Сельского Поселения Верхнехавского Муниципального района Воронежской области</t>
  </si>
  <si>
    <t>Модернизация наружного освещения в Хохольском городском поселении Хохольского района Воронежской области</t>
  </si>
  <si>
    <t>№0131300035719000021 от 29.04.2019</t>
  </si>
  <si>
    <t>Администрация Хохольского городского Поселения</t>
  </si>
  <si>
    <t>Выполнение работ по модернизации наружного освещения Латненского городского поселения Семилукского муниципального района Воронежской области</t>
  </si>
  <si>
    <t>№11/19 от 26.09.2019</t>
  </si>
  <si>
    <t>Администрация Латненского городского Поселения Семилукского Муниципального района Воронежской области</t>
  </si>
  <si>
    <t>Выполнение работ по модернизации систем уличного освещения Вязноватовского сельского поселения Нижнедевицкого муниципального района Воронежской области</t>
  </si>
  <si>
    <t>№01313000046190000560001 от  16.07.2019</t>
  </si>
  <si>
    <t>Администрация Вязноватовского Сельского Поселения Нижнедевицкого Муниципального района Воронежской области</t>
  </si>
  <si>
    <t>Восстановление электроосвещения автомобильных дорог Яблоченского сельского поселения</t>
  </si>
  <si>
    <t>№2 от 29.04.2019</t>
  </si>
  <si>
    <t>Администрация Яблоченского Сельского Поселения Хохольского Муниципального района Воронежской области</t>
  </si>
  <si>
    <t>Модернизация наружного освещения Ярковского сельского поселения Новохоперского муниципального района Воронежской области</t>
  </si>
  <si>
    <t>№01313000278190000940001 от 12.08.2019</t>
  </si>
  <si>
    <t xml:space="preserve">Администрация Ярковского Сельского Поселения Новохоперского Муниципального района Воронежской области </t>
  </si>
  <si>
    <t>Выполнение работ по модернизации наружного освещения Стрелицкого городского поселения Семилукского муниципального района Воронежской области</t>
  </si>
  <si>
    <t>№0131300007919000125_74410 от 25.10.2019</t>
  </si>
  <si>
    <t>Администрация Стрелицкого городского Поселения Семилукского Муниципального района Воронежской области</t>
  </si>
  <si>
    <t>Восстановление электроосвещения автомобильных дорог, расположенных в Клеповском сельском поселение Бутурлиновского муниципального района Воронежской области</t>
  </si>
  <si>
    <t>№01313000090190000730001 от 15.07.2019</t>
  </si>
  <si>
    <t>Администрация Клеповского Сельского Поселения Бутурлиновского Муниципального района Воронежской области</t>
  </si>
  <si>
    <t>Выполнение работ по модернизации наружного освещения Семилукского сельского поселения Семилукского муниципального района Воронежской области</t>
  </si>
  <si>
    <t>б/н от 27.09.2019</t>
  </si>
  <si>
    <t>Администрация Семилукского Сельского Поселения Семилукского Муниципального района Воронежской области</t>
  </si>
  <si>
    <t>Модернизация систем уличного освещения Новогремяченского сельского поселения Хохольского муниципального района Воронежской области</t>
  </si>
  <si>
    <t>№06 от 22.10.2019</t>
  </si>
  <si>
    <t>Администрация Новогремяченского Сельского Поселения Хохольского Муниципального района Воронежской области</t>
  </si>
  <si>
    <t>Восстановление электроосвещения автомобильных дорог Кочетовского сельского поселения</t>
  </si>
  <si>
    <t>№1 от 29.04.2019</t>
  </si>
  <si>
    <t>Администрация Кочетовского Сельского Поселения Хохольского Муниципального района Воронежской области</t>
  </si>
  <si>
    <t>ИТОГО договоров  на общую сумму в рублях</t>
  </si>
  <si>
    <r>
      <t xml:space="preserve"> </t>
    </r>
    <r>
      <rPr>
        <b/>
        <sz val="11"/>
        <color theme="1"/>
        <rFont val="Times New Roman"/>
        <family val="1"/>
        <charset val="204"/>
      </rPr>
      <t>2020 г.</t>
    </r>
  </si>
  <si>
    <t>Выполнение работ по приспособлению ГБУ «МГФСО» Москомспорта, расположенного по адресу: г. Москва, ул. Борисовские Пруды, д. 29, для беспрепятственного доступа и занятий лиц с ограниченными возможностями здоровья</t>
  </si>
  <si>
    <t>№0373200068620000030_48808 от 14.03.2020</t>
  </si>
  <si>
    <t>Выполнение работ по текущему ремонту на объектах, подведомственных Москомспорту (ТР ДР)</t>
  </si>
  <si>
    <t>№0373200068620000180_48808 от 24.08.2020</t>
  </si>
  <si>
    <t>Выполнение работ по капитальному ремонту зданий КНС 2 и КНС 3 ГБУ «СШОР «Хлебниково» Москомспорта, расположенных по адресам: Московская область, Мытищинский район, 1-2 квартал Хлебниковского лесопарка, вл. 1, стр. 23; вл. 1, стр. 2</t>
  </si>
  <si>
    <t>№0373200068620000218_48808 от 14.09.2020</t>
  </si>
  <si>
    <t>Выполнение работ по капитальному ремонту в ГБУ «МосСпортОбъект», расположенному по адресу: Московская обл. Чеховский р-н, дер. Кузьмино-Фильчаково, ул. Спортивная, д. 1, стр. 1</t>
  </si>
  <si>
    <t>№0373200068620000228_48808 от 23.09.2020</t>
  </si>
  <si>
    <t>Выполнение работ по капитальному ремонту здания ГБУ «ЦФКиС ЗАО г. Москвы» Москомспорта, расположенного по адресу: г. Москва, ул. Рассказовская, д. 31, здания ГБУ «СШ «Борец» Москомспорта, расположенного по адресу: г. Москва, Боровское шоссе, д. 37, к. 1,</t>
  </si>
  <si>
    <t>№0373200068620000297_48808 от 06.10.2020</t>
  </si>
  <si>
    <t>Выполнение работ по капитальному ремонту ледовых полей в ГБПОУ «МССУОР №4 им. А.Я. Гомельского» Москомспорта по адресу: г.Москва, ул. Коненкова, д.10Б</t>
  </si>
  <si>
    <t>№0373200068620000285_48808 от 06.10.2020</t>
  </si>
  <si>
    <t>Выполнение работ по капитальному ремонту помещений гостиницы объекта ГБПОУ «МССУОР №4 им. А.Я. Гомельского» Москомспорта по адресу: г.Москва, ул. Лескова, д.25А. 3-й Этап</t>
  </si>
  <si>
    <t>№0373200068620000246_48808 от 06.10.2020</t>
  </si>
  <si>
    <t>Выполнение работ по капитальному ремонту помещений 3-го этажа ГБПОУ «МССУОР №4 им. А.Я. Гомельского» Москомспорта по адресу: г.Москва, ул. Лескова, д.25А. 2-й Этап</t>
  </si>
  <si>
    <t>№0373200068620000247_48808 от 06.10.2020</t>
  </si>
  <si>
    <t>Выполнение работ по капитальному ремонту помещений общежития ГБПОУ «МССУОР №4 им. А.Я. Гомельского» Москомспорта по адресу: г.Москва, ул. Лескова, д.25А. 1-й Этап</t>
  </si>
  <si>
    <t>№0373200068620000248_48808 от 07.10.2020</t>
  </si>
  <si>
    <t>Выполнение работ по капитальному ремонту объекта ГБУ «САШ» Москомспорта по адресу: г.Москва, ул. Корнейчука, д.28, к.2</t>
  </si>
  <si>
    <t>№0373200068620000261_48808 от 06.10.2020</t>
  </si>
  <si>
    <t>Выполнение работ по капитальному ремонту помещений цокольного этажа ГБУ «Московская баскетбольная академия» Москомспорта по г.Москва, ул. 800-летия Москвы, д.7Б</t>
  </si>
  <si>
    <t>№0373200068620000282_48808 от 06.10.2020</t>
  </si>
  <si>
    <t>Выполнение работ по капитальному ремонту спортивных залов ГБУ «МГФСО» Москомспорта по адресу: г.Москва, ул. Борисовские Пруды, д.29</t>
  </si>
  <si>
    <t>№0373200068620000283_48808 от 06.10.2020</t>
  </si>
  <si>
    <t>Выполнение работ по капитальному ремонту ГБУ «СШОР №2» Москомспорта по адресу: г.Москва, ул. Заповедная, д.5, ГБУ «СШОР №1» Москомспорта по адресу: г.Москва, ул. Левобережная, д.12, к.1</t>
  </si>
  <si>
    <t>№0373200068620000286_48808 от 07.10.2020</t>
  </si>
  <si>
    <t>Выполнение работ по капитальному ремонту входных групп здания ГБПОУ «МССУОР №4 им. А.Я. Гомельского» Москомспорта по адресу: г.Москва, ул. Лескова, д.25А. Входная группа + пищеблок</t>
  </si>
  <si>
    <t>№0373200068620000287_48808 от 07.10.2020</t>
  </si>
  <si>
    <t>Выполнение работ по капитальному ремонту объектов ГБПОУ «МССУОР №4 им. А.Я. Гомельского» Москомспорта по адресу: г.Москва, ул. Лескова, д.25А (6-й Этап), ГБУ «ЦФКиС СВАО г.Москвы» Москомспорта по адресам: г.Москва, 3-я ул. Марьиной Рощи, д.8, ул. Зональна</t>
  </si>
  <si>
    <t>ГБУ «СШОР №45» Москомспорта по адресу: г.Москва, ул. Садовники, д.13, с.3</t>
  </si>
  <si>
    <t>№0373200068620000341_48808 от 20.10.2020</t>
  </si>
  <si>
    <t>Выполнение работ по капитальному ремонту объекта ГБУ «МГФСО» Москомспорта по адресу: г.Москва, ул. Кировоградская, д.10А</t>
  </si>
  <si>
    <t>№0373200068620000381_48808 от 03.11.2020</t>
  </si>
  <si>
    <t>Выполнение работ по капитальному ремонту ГБПОУ «МССУОР №4 им. А.Я. Гомельского» Москомспорта по адресу: г.Москва, ул. Лескова, д.25А, в 2020-2021 годах. 4-й этап</t>
  </si>
  <si>
    <t>№0373200068620000383_48808 от 02.11.2020</t>
  </si>
  <si>
    <t>Выполнение работ по капитальному ремонту здания ГБУ «МосСпортОбъект», расположенного по адресу: Московская обл. Чеховский р-н, дер. Кузьмино-Фильчаково, ул. Спортивная, д. 1, стр. 1 (2 этап), здания ГБУ «ФСО «Юность Москвы» Москомспорта, расположенного по адресу: г. Москва, ул. Днепропетровская, д.10А</t>
  </si>
  <si>
    <t>№0373200068620000439_48808 от 07.12.2020</t>
  </si>
  <si>
    <t>Выполнение работ по капитальному ремонту объектов ГБОУ «Центр образования и спорта «Москва-98» Москомспорта по адресу: г.Москва, ул. Удальцова, д.40, ГБУ «ЦФКиС ЮЗАО г.Москвы» Москомспорта по адресу: г.Москва, Новоясеневский пр-т, д.30</t>
  </si>
  <si>
    <t>№0373200068620000421_48808 от 07.12.2020</t>
  </si>
  <si>
    <t>Выполнение работ по капитальному ремонту помещений общежития в ГБПОУ «МССУОР №4 им. А.Я. Гомельского» Москомспорта. 5-й Этап</t>
  </si>
  <si>
    <t>№0373200068620000448_48808 от 08.12.2020</t>
  </si>
  <si>
    <t>2021 г.</t>
  </si>
  <si>
    <t>Выполнение работ по капитальному ремонту внутренних помещений в ГБУ «ЦФКиС ЮЗАО г.Москвы» Москомспорта по адресу: г.Москва, Новоясеневский пр-т, д.30, в 2021 году</t>
  </si>
  <si>
    <t>№0373200068621000008_48808 от 02.04.2020</t>
  </si>
  <si>
    <t>Выполнение работ по капитальному ремонту помещений раздевалок в ГБПОУ «МССУОР №4 им. А.Я. Гомельского» Москомспорта по адресу: г. Москва, ул. Конёнкова, д.10Б, в 2021 году</t>
  </si>
  <si>
    <t>№0373200068621000003/1 от 05.04.2020</t>
  </si>
  <si>
    <t xml:space="preserve">ООО "РЭС" ИНН 7703639379 </t>
  </si>
  <si>
    <t>Выполнение работ по капитальному ремонту помещений общежития 2-го этажа в ГБПОУ «МССУОР №4 им. А.Я. Гомельского» Москомспорта по адресу: г.Москва, ул. Лескова, д.25А, в 2021 году</t>
  </si>
  <si>
    <t>№0373200068621000004_48808 от 05.04.2020</t>
  </si>
  <si>
    <t>Выполнение работ по капитальному ремонту подвальных помещений в ГБУ «СШ №75 «Савёловская» Москомспорта по адресу: г.Москва, ул. Вятская, д.41, в 2021 году</t>
  </si>
  <si>
    <t>№0373200068621000007_48808 от 05.04.2020</t>
  </si>
  <si>
    <t>Выполнение работ по капитальному ремонту внутренних помещений в ГБУ «СШ №93 «На Можайке» Москомспорта по адресу: г.Москва, ул. Гришина, д.8, к.3, в 2021 году</t>
  </si>
  <si>
    <t>№0373200068621000005_48808 от 02.04.2020</t>
  </si>
  <si>
    <t>Выполнение работ по капитальному ремонту спальных комнат (левое крыло) корпуса № 2 в ГБУ «СШОР №65 «Ника» Москомспорта по адресу: Московская обл., Щелковский р-н, д.Савинки, в 2021 году</t>
  </si>
  <si>
    <t>№0373200068621000010_48808 от 05.04.2020</t>
  </si>
  <si>
    <t>Выполнение работ по капитальному ремонту ГБУ «СШОР «Москвич» Москомспорта по адресу: г.Москва, Волгоградский пр-т, д.46/15, с.10, в 2021 году</t>
  </si>
  <si>
    <t>№0373200068621000009_48808 от 02.04.2020</t>
  </si>
  <si>
    <t>Выполнение работ по ремонту  ГБУ "СШОР №1 " Москомспорта по адресу : г.Москва, ул.Левобережная , д.12, к.1  ГБУ "СШОР № 1" Москомспорта по адресу: г.Москва, ул.Левобережная, д.12 к.1</t>
  </si>
  <si>
    <t>№012021035 от 30.04.2020</t>
  </si>
  <si>
    <t>АНО «Мосспортразвитие»</t>
  </si>
  <si>
    <t>ИНН 9731073843</t>
  </si>
  <si>
    <t>Выполнение работ по капитальному ремонту объекта капитального строительства, направленных на развитие объекта спортивной инфраструктуры: ГБУ «СШОР № 1» Москомспорта по адресу: г.Москва, ул. Петрозаводская, д.28, с.1</t>
  </si>
  <si>
    <t>№012021054 от 30.04.2020</t>
  </si>
  <si>
    <t>Выполнение работ по капитальному ремонту помещений в ГБУ «СШОР № 73 «Виктория» Москомспорта по адресу: г.Москва, ул. Алабяна, д.13, к.1, в 2021 году</t>
  </si>
  <si>
    <t>Выполнение работ по капитальному ремонту помещений в ГБУ «СШОР № 1» Москомспорта по адресу: г.Москва, ул. Левобережная, д.12, к.1, в 2021 году</t>
  </si>
  <si>
    <t>Выполнение работ по капитальному ремонту помещений в ГБУ «СШОР по теннису «Олимпиец» Москомспорта по адресу: г.Москва, ул. Удальцова, д.54, в 2021 году</t>
  </si>
  <si>
    <t>Выполнение работ по капитальному ремонту объекта капитального строительства, направленного на развитие объектов спортивной инфраструктуры: ГБУ «СШОР № 111» Москомспорта, расположенного по адресу: г. Москва, Озерная аллея, д. 10. (ВЕНТФАСАДЫ)</t>
  </si>
  <si>
    <t>Выполнение комплекса работ по капитальному ремонту инженерных систем и отдельных помещений здания АО «Щербинская типография» расположенного по адресу: г. Москва, ул. Типографская д. 10</t>
  </si>
  <si>
    <t>АО "Щербинская типография"</t>
  </si>
  <si>
    <t>ИНН 7727237735</t>
  </si>
  <si>
    <t>Выполнение работ по капитальному ремонту объекта капитального строительства, направленного на развитие объектов спортивной инфраструктуры: ГБУ «СШОР «Нагорная» Москомспорта, расположенного по адресу: г. Зеленоград, к. 1613</t>
  </si>
  <si>
    <t>ГБУ СШОР № 42 Москомспорта. Г. Москва, ул. Люсиновская д. 62 к. 1;</t>
  </si>
  <si>
    <t>ГБОУ "ЦСиО"МЭШ" Москомспорта, ул. Херсонская, д. 30, к. 2</t>
  </si>
  <si>
    <t>Капитальный ремонт здания ГБУ "СШОР № 1" Москомспорта по адресу: г. Москва, ул. Левобережная, д.12, к.1 (АЕГ)</t>
  </si>
  <si>
    <t>Выполнение работ по капитальному ремонту объекта капитального</t>
  </si>
  <si>
    <t>строительства, направленного на развитие объектов спортивной инфраструктуры: ГБУ «СШ № 10» Москомспорта, расположенного по адресу: г. Зеленоград, ул. Озерная аллея, д.6. (ХВО)</t>
  </si>
  <si>
    <t>Выполнение работ по капитальному ремонту объекта капитального строительства, направленных на развитие объектов спортивной инфраструктуры: ГБУ «ФСО «Хоккей Москвы» Москомспорта, расположенного по адресу: г. Москва, ул. Воронежская, д. 13.</t>
  </si>
  <si>
    <t>Выполнение работ по капитальному ремонту объекта капитального строительства, направленных на развитие объекта спортивной инфраструктуры: ГБУ «СШОР «Москвич» Москомспорта по адресу: г.Москва, Волгоградский пр-т, д.46/15, с.13.</t>
  </si>
  <si>
    <t>Выполнение работ по капитальному ремонту объекта капитального строительства, направленных на развитие объектов спортивной инфраструктуры: ГБУ «СШОР по теннису «Олимпиец» Москомспорта, расположенного по адресу: г. Москва, ул. Удальцова, д. 54.</t>
  </si>
  <si>
    <t>Выполнение работ по капитальному ремонту объекта капитального строительства, направленных на развитие объектов спортивной инфраструктуры: ГБУ "ЦФКиС Зеленоградского АО г. Москвы" Москомспорта, расположенного по адресу: Зеленоград, проезд 474, д.3 стр.1 (ФОК "РАДУГА")</t>
  </si>
  <si>
    <t>Выполнение работ по капитальному ремонту объектов ГБУ «СШ № 93 «На Можайке» Москомспорта по адресу: г.Москва, ул. Маршала Тимошенко, д.6, ГБУ "ЦФКиС ЮЗАО г.Москвы" Москомспорта по адресу: г.Москва, Новоясеневский пр-т, д.30, в 2021 году</t>
  </si>
  <si>
    <t>Выполнение работ по приспособлению объекта ГБУ «СШОР №74» Москомспорта, расположенного по адресу: г. Москва, Волоколамское ш., д.12, для беспрепятственного доступа и занятий лиц с ограниченными возможностями здоровья</t>
  </si>
  <si>
    <t>строительства, направленного на развитие объектов спортивной инфраструктуры: ГБУ «СШ № 10» Москомспорта, расположенного по адресу: г. Зеленоград, ул. Озерная аллея, д.6. (ФИЛЬТРА)</t>
  </si>
  <si>
    <t>Выполнение работ по капитальному ремонту объектов ГБУ «СШОР №2» Москомспорта по адресам: г. Москва, ул. Заповедная, д.1, д.5, ГБУ «СШОР №77» Москомспорта по адресу: г. Москва, ул. Вагоноремонтная, д.2, с.2</t>
  </si>
  <si>
    <t>Выполнение работ по приспособлению объекта ГБУ «СШОР «РГШ - Столица» Москомспорта, расположенного по адресу: г.Москва, Проектируемый пр-д №635, д.9, к.1 (ЛВС № 2 - раздевалки), для беспрепятственного доступа и занятий лиц с ограниченными возможностями здоровья</t>
  </si>
  <si>
    <t>Выполнение работ по приспособлению объекта ГБУ «СШОР «РГШ - Столица» Москомспорта, расположенного по адресу: г.Москва, Проектируемый пр-д №635, д.9, к.1 (административно-бытовой комплекс), для беспрепятственного доступа и занятий лиц с ограниченными возможностями здоровья</t>
  </si>
  <si>
    <t>строительства, направленного на развитие объектов спортивной инфраструктуры (Гришина + Новоясенево + Удальцова)</t>
  </si>
  <si>
    <t>строительства, направленного на развитие объектов спортивной инфраструктуры (Озерная Аллея 10 + Хлебниково)</t>
  </si>
  <si>
    <t xml:space="preserve">«Капитальный ремонт помещений административного здания по адресу: г. Москва, улица Руставели, д.2 для нужд ПАО «Московская объединенная электросетевая компания» филиал «Северные электрические сети»» </t>
  </si>
  <si>
    <t>ПАО «МОЭСК»</t>
  </si>
  <si>
    <t>ИНН 5036065113</t>
  </si>
  <si>
    <t>01/2021/СЭС</t>
  </si>
  <si>
    <t>«Капитальный ремонт помещений административного здания по адресу: г. Дмитров, улица Космонавтов, д.46»</t>
  </si>
  <si>
    <t>03/2021/СЭС</t>
  </si>
  <si>
    <t xml:space="preserve">2022 г.-2023 г. </t>
  </si>
  <si>
    <t>Номер закупки, по результатам которой заключен договор</t>
  </si>
  <si>
    <t>Выполнение работ по капитальному ремонту объекта капитального строительства, направленных на развитие объектов спортивной инфраструктуры: ГБУ «ФСО «Хоккей Москвы» Москомспорта, расположенного по адресу: г. Москва, ул. Воронежская, д. 13. (САУНА, КОМНАТА ОТДЫХА)</t>
  </si>
  <si>
    <t>Выполнение работ по капитальному ремонту объекта капитального строительства, направленных на развитие объектов спортивной инфраструктуры: ГБУ «ФСО «Хоккей Москвы» Москомспорта, расположенного по адресу: г. Москва, ул. Воронежская, д. 13. (УСТРАНЕНИЕ ПРОТЕЧЕК, КАФЕ, ВИТРАЖИ, ХВС, ГВС)</t>
  </si>
  <si>
    <t>Выполнение СМР по договору № 012022044 от 08.04.2022 г.  и разработка ПСД по объекту: Выполнение работ по капитальному ремонту объекта капитального строительства, направленных на развитие объектов спортивной инфраструктуры: ГБУ «СШОР «Москвич» Москомспорта по адресу: г.Москва, Волгоградский пр-т, д.46/15, с.16</t>
  </si>
  <si>
    <t>Выполнение работ по капитальному ремонту объекта капитального строительства, направленных на развитие объектов спортивной инфраструктуры: ГБУ «ФСО «Хоккей Москвы» Москомспорта по адресу: г.Москва, ул. Николая Старостина, д.8</t>
  </si>
  <si>
    <t>Выполнение работ по капитальному ремонту объекта капитального строительства, направленных на развитие объектов спортивной инфраструктуры: ГБУ «Спортивный комплекс «Мегаспорт» Москомспорта по адресу: г.Москва, ул. Крылатская, д.16</t>
  </si>
  <si>
    <t>Выполнение работ по капитальному ремонту объекта капитального строительства, направленных на развитие объектов спортивной инфраструктуры: ГБУ «СШОР по теннису «Олимпиец» Москомспорта по адресу: г.Москва, ул. Удальцова, д.54</t>
  </si>
  <si>
    <t>Выполнение работ по капитальному ремонту объекта капитального строительства, направленных на развитие объектов спортивной инфраструктуры: ГБУ «СШОР «Москвич» Москомспорта по адресу: г.Москва, Волгоградский пр-т, д.46/15, с.22 (АНГАР)</t>
  </si>
  <si>
    <t>9 378 736,87</t>
  </si>
  <si>
    <t>Оснащение ГБУ "ФСО" Хоккей Москвы" Москомспорта напольным покрытием с целью укрепления материально-технической базы (Поставка НУРОМЕНД)</t>
  </si>
  <si>
    <t>Выполнение работ по капитальному ремонту объекта капитального строительства, направленных на развитие объектов спортивной инфраструктуры: ГБУ «ФСО «Хоккей Москвы» Москомспорта по адресу: г.Москва, ул. Воронежская, д.13 (работы по новому проекту)</t>
  </si>
  <si>
    <t>Выполнение работ по капитальному ремонту объекта капитального строительства, направленных на развитие объектов спортивной инфраструктуры: ГБУ «СШОР «Москвич» Москомспорта по адресу: г.Москва, Волгоградский пр-т, д.46/15, с.10 (ДЕМОНТАЖ)</t>
  </si>
  <si>
    <t>Выполнение работ по капитальному ремонту объекта капитального строительства, направленных на развитие объектов спортивной инфраструктуры: ГБУ «СШОР «Москвич» Москомспорта по адресу: г.Москва, Волгоградский пр-т, д.46/15, с.10</t>
  </si>
  <si>
    <t>Выполнение работ по капитальному ремонту объекта капитального строительства, направленных на развитие объектов спортивной инфраструктуры: ГБУ «СШОР «Москвич» Москомспорта по адресу: г.Москва, ул. Люблинская, д.15/46, с.7 (ДЕМОНТАЖ)</t>
  </si>
  <si>
    <t>Выполнение работ по капитальному ремонту объекта капитального строительства, направленных на развитие объектов спортивной инфраструктуры: ГБУ «СШОР «Москвич» Москомспорта по адресу: г.Москва, ул. Люблинская, д.15/46, с.7</t>
  </si>
  <si>
    <t>Оснащение подведомственного учреждения Москомспорта светильниками с целью укрепления материально-технической базы. (СВЕТИЛЬНИКИ)</t>
  </si>
  <si>
    <t>ИТП. ГБУ «СШОР «Москвич» Москомспорта по адресу: г.Москва, Волгоградский пр-т, д.46/15, с.16</t>
  </si>
  <si>
    <t>Приложение 1</t>
  </si>
  <si>
    <t xml:space="preserve">к порядку рассмотрения и оценки </t>
  </si>
  <si>
    <t>заявок на участие в конкурсе</t>
  </si>
  <si>
    <t>Квалификация участников закупки</t>
  </si>
  <si>
    <t xml:space="preserve">Характеристика квалификации участников закупки № 1. «Цена контракта, сумма цен единиц товара, работы, услуги»
</t>
  </si>
  <si>
    <t>Общая цена исполненных договоров</t>
  </si>
  <si>
    <t xml:space="preserve">Характеристика квалификации участников закупки № 1. «Квалификация участников конкурса в электронной форме»
</t>
  </si>
  <si>
    <t>Общее колличество исполненных контрактов/договоров</t>
  </si>
  <si>
    <t>Итоговый результат оценки</t>
  </si>
  <si>
    <r>
      <t xml:space="preserve">Минимальное предложение из предложений по критерию оценки (показателю), </t>
    </r>
    <r>
      <rPr>
        <b/>
        <u/>
        <sz val="12"/>
        <color rgb="FFFF0000"/>
        <rFont val="Times New Roman"/>
        <family val="1"/>
        <charset val="204"/>
      </rPr>
      <t>принятое Комиссией к оценке</t>
    </r>
    <r>
      <rPr>
        <b/>
        <sz val="12"/>
        <rFont val="Times New Roman"/>
        <family val="1"/>
        <charset val="204"/>
      </rPr>
      <t xml:space="preserve"> (руб.) (Xmin)</t>
    </r>
  </si>
  <si>
    <t>Оценка с учетом значимост                - 0,6</t>
  </si>
  <si>
    <t>Рейтинг заявки по Квалификация участников конкурса в электронной форме с учетом значимости - 0,4</t>
  </si>
  <si>
    <t>ООО "РОСТ"</t>
  </si>
  <si>
    <t>ООО "ЗЕЛЁНЫЙ ГОРОД"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</si>
</sst>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  <diagonal/>
    </border>
    <border>
      <left/>
      <right style="dotted">
        <color rgb="FFBFBFBF"/>
      </right>
      <top style="dotted">
        <color rgb="FFBFBFBF"/>
      </top>
      <bottom style="dotted">
        <color rgb="FFBFBFBF"/>
      </bottom>
      <diagonal/>
    </border>
    <border>
      <left style="dotted">
        <color rgb="FFBFBFBF"/>
      </left>
      <right style="dotted">
        <color rgb="FFBFBFBF"/>
      </right>
      <top/>
      <bottom style="dotted">
        <color rgb="FFBFBFBF"/>
      </bottom>
      <diagonal/>
    </border>
    <border>
      <left/>
      <right style="dotted">
        <color rgb="FFBFBFBF"/>
      </right>
      <top/>
      <bottom style="dotted">
        <color rgb="FFBFBFBF"/>
      </bottom>
      <diagonal/>
    </border>
    <border>
      <left style="dotted">
        <color rgb="FFBFBFBF"/>
      </left>
      <right style="dotted">
        <color rgb="FFBFBFBF"/>
      </right>
      <top/>
      <bottom/>
      <diagonal/>
    </border>
    <border>
      <left/>
      <right style="dotted">
        <color rgb="FFBFBFBF"/>
      </right>
      <top/>
      <bottom/>
      <diagonal/>
    </border>
    <border>
      <left style="dotted">
        <color rgb="FFBFBFBF"/>
      </left>
      <right style="dotted">
        <color rgb="FFBFBFBF"/>
      </right>
      <top style="dotted">
        <color rgb="FFBFBFBF"/>
      </top>
      <bottom/>
      <diagonal/>
    </border>
    <border>
      <left style="dotted">
        <color rgb="FFBFBFBF"/>
      </left>
      <right/>
      <top style="dotted">
        <color rgb="FFBFBFBF"/>
      </top>
      <bottom style="dotted">
        <color rgb="FFBFBFBF"/>
      </bottom>
      <diagonal/>
    </border>
    <border>
      <left/>
      <right/>
      <top style="dotted">
        <color rgb="FFBFBFBF"/>
      </top>
      <bottom style="dotted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4" fontId="7" fillId="4" borderId="1" xfId="2" applyNumberFormat="1" applyFont="1" applyFill="1" applyBorder="1" applyAlignment="1">
      <alignment horizontal="center" vertical="center" wrapText="1"/>
    </xf>
    <xf numFmtId="9" fontId="7" fillId="4" borderId="1" xfId="3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164" fontId="0" fillId="0" borderId="0" xfId="2" applyFont="1"/>
    <xf numFmtId="4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4" fontId="0" fillId="0" borderId="0" xfId="0" applyNumberForma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justify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" fontId="16" fillId="0" borderId="6" xfId="0" applyNumberFormat="1" applyFont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14" fontId="16" fillId="0" borderId="6" xfId="0" applyNumberFormat="1" applyFont="1" applyBorder="1" applyAlignment="1">
      <alignment horizontal="center" vertical="center" wrapText="1"/>
    </xf>
    <xf numFmtId="4" fontId="17" fillId="6" borderId="6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justify" vertical="center"/>
    </xf>
    <xf numFmtId="0" fontId="18" fillId="0" borderId="0" xfId="0" applyFont="1" applyAlignment="1">
      <alignment horizontal="left" vertical="center" indent="15"/>
    </xf>
    <xf numFmtId="0" fontId="13" fillId="0" borderId="0" xfId="0" applyFont="1"/>
    <xf numFmtId="4" fontId="17" fillId="6" borderId="6" xfId="0" applyNumberFormat="1" applyFont="1" applyFill="1" applyBorder="1" applyAlignment="1">
      <alignment horizontal="left" vertical="center"/>
    </xf>
    <xf numFmtId="2" fontId="7" fillId="4" borderId="1" xfId="2" applyNumberFormat="1" applyFont="1" applyFill="1" applyBorder="1" applyAlignment="1">
      <alignment horizontal="center" vertical="center" wrapText="1"/>
    </xf>
    <xf numFmtId="4" fontId="7" fillId="4" borderId="12" xfId="2" applyNumberFormat="1" applyFont="1" applyFill="1" applyBorder="1" applyAlignment="1">
      <alignment horizontal="center" vertical="center" wrapText="1"/>
    </xf>
    <xf numFmtId="4" fontId="7" fillId="4" borderId="13" xfId="2" applyNumberFormat="1" applyFont="1" applyFill="1" applyBorder="1" applyAlignment="1">
      <alignment horizontal="center" vertical="center" wrapText="1"/>
    </xf>
    <xf numFmtId="0" fontId="11" fillId="5" borderId="2" xfId="1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4" fontId="16" fillId="0" borderId="9" xfId="0" applyNumberFormat="1" applyFont="1" applyBorder="1" applyAlignment="1">
      <alignment horizontal="center" vertical="center" wrapText="1"/>
    </xf>
    <xf numFmtId="14" fontId="16" fillId="0" borderId="5" xfId="0" applyNumberFormat="1" applyFont="1" applyBorder="1" applyAlignment="1">
      <alignment horizontal="center" vertical="center" wrapText="1"/>
    </xf>
    <xf numFmtId="4" fontId="16" fillId="0" borderId="9" xfId="0" applyNumberFormat="1" applyFont="1" applyBorder="1" applyAlignment="1">
      <alignment horizontal="center" vertical="center" wrapText="1"/>
    </xf>
    <xf numFmtId="4" fontId="16" fillId="0" borderId="5" xfId="0" applyNumberFormat="1" applyFont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right" vertical="center"/>
    </xf>
    <xf numFmtId="0" fontId="17" fillId="6" borderId="11" xfId="0" applyFont="1" applyFill="1" applyBorder="1" applyAlignment="1">
      <alignment horizontal="right" vertical="center"/>
    </xf>
    <xf numFmtId="0" fontId="17" fillId="6" borderId="4" xfId="0" applyFont="1" applyFill="1" applyBorder="1" applyAlignment="1">
      <alignment horizontal="right" vertical="center"/>
    </xf>
    <xf numFmtId="0" fontId="16" fillId="6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14" fontId="16" fillId="0" borderId="7" xfId="0" applyNumberFormat="1" applyFont="1" applyBorder="1" applyAlignment="1">
      <alignment horizontal="center" vertical="center" wrapText="1"/>
    </xf>
    <xf numFmtId="4" fontId="16" fillId="0" borderId="7" xfId="0" applyNumberFormat="1" applyFont="1" applyBorder="1" applyAlignment="1">
      <alignment horizontal="center" vertical="center" wrapText="1"/>
    </xf>
  </cellXfs>
  <cellStyles count="4">
    <cellStyle name="Акцент1" xfId="1" builtinId="29"/>
    <cellStyle name="Обычный" xfId="0" builtinId="0"/>
    <cellStyle name="Процентный" xfId="3" builtinId="5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I13"/>
  <sheetViews>
    <sheetView tabSelected="1" zoomScale="60" zoomScaleNormal="60" zoomScalePageLayoutView="70" workbookViewId="0">
      <selection activeCell="B11" sqref="B11:B12"/>
    </sheetView>
  </sheetViews>
  <sheetFormatPr defaultColWidth="9.109375" defaultRowHeight="12" x14ac:dyDescent="0.3"/>
  <cols>
    <col min="1" max="1" width="15.44140625" style="1" customWidth="1"/>
    <col min="2" max="2" width="29.21875" style="1" customWidth="1"/>
    <col min="3" max="3" width="19.33203125" style="1" customWidth="1"/>
    <col min="4" max="4" width="19.6640625" style="1" customWidth="1"/>
    <col min="5" max="5" width="20.109375" style="1" customWidth="1"/>
    <col min="6" max="6" width="15.21875" style="1" customWidth="1"/>
    <col min="7" max="8" width="16.44140625" style="1" customWidth="1"/>
    <col min="9" max="9" width="30.6640625" style="1" customWidth="1"/>
    <col min="10" max="10" width="17" style="1" customWidth="1"/>
    <col min="11" max="11" width="9.109375" style="1"/>
    <col min="12" max="12" width="10.44140625" style="1" customWidth="1"/>
    <col min="13" max="16384" width="9.109375" style="1"/>
  </cols>
  <sheetData>
    <row r="1" spans="1:9" ht="36.75" customHeight="1" x14ac:dyDescent="0.3">
      <c r="A1" s="40" t="s">
        <v>3</v>
      </c>
      <c r="B1" s="40"/>
      <c r="C1" s="40"/>
      <c r="D1" s="40"/>
      <c r="E1" s="40"/>
      <c r="F1" s="40"/>
      <c r="G1" s="40"/>
      <c r="H1" s="40"/>
      <c r="I1" s="2"/>
    </row>
    <row r="2" spans="1:9" ht="34.799999999999997" customHeight="1" x14ac:dyDescent="0.3">
      <c r="A2" s="39" t="s">
        <v>199</v>
      </c>
      <c r="B2" s="39"/>
      <c r="C2" s="39"/>
      <c r="D2" s="39"/>
      <c r="E2" s="39"/>
      <c r="F2" s="39"/>
      <c r="G2" s="39"/>
      <c r="H2" s="39"/>
      <c r="I2" s="3"/>
    </row>
    <row r="3" spans="1:9" ht="163.80000000000001" customHeight="1" x14ac:dyDescent="0.3">
      <c r="A3" s="5" t="s">
        <v>1</v>
      </c>
      <c r="B3" s="5" t="s">
        <v>0</v>
      </c>
      <c r="C3" s="5" t="s">
        <v>6</v>
      </c>
      <c r="D3" s="6" t="s">
        <v>204</v>
      </c>
      <c r="E3" s="6" t="s">
        <v>7</v>
      </c>
      <c r="F3" s="5" t="s">
        <v>4</v>
      </c>
      <c r="G3" s="5" t="s">
        <v>2</v>
      </c>
      <c r="H3" s="5" t="s">
        <v>205</v>
      </c>
      <c r="I3" s="5" t="s">
        <v>8</v>
      </c>
    </row>
    <row r="4" spans="1:9" s="4" customFormat="1" ht="15.6" x14ac:dyDescent="0.3">
      <c r="A4" s="7">
        <v>1</v>
      </c>
      <c r="B4" s="11" t="s">
        <v>207</v>
      </c>
      <c r="C4" s="36">
        <v>100144318.13</v>
      </c>
      <c r="D4" s="36">
        <v>85122670</v>
      </c>
      <c r="E4" s="36">
        <v>0</v>
      </c>
      <c r="F4" s="9">
        <v>0.6</v>
      </c>
      <c r="G4" s="10">
        <f>(D5/C4)*100</f>
        <v>84.999999590091576</v>
      </c>
      <c r="H4" s="10">
        <f>G4*F4</f>
        <v>50.999999754054947</v>
      </c>
      <c r="I4" s="12"/>
    </row>
    <row r="5" spans="1:9" s="4" customFormat="1" ht="15.6" x14ac:dyDescent="0.3">
      <c r="A5" s="7">
        <v>2</v>
      </c>
      <c r="B5" s="7" t="s">
        <v>208</v>
      </c>
      <c r="C5" s="36">
        <v>85122670</v>
      </c>
      <c r="D5" s="36">
        <v>85122670</v>
      </c>
      <c r="E5" s="36">
        <v>0</v>
      </c>
      <c r="F5" s="9">
        <v>0.6</v>
      </c>
      <c r="G5" s="10">
        <f>(C5/C5)*100</f>
        <v>100</v>
      </c>
      <c r="H5" s="10">
        <f t="shared" ref="H5" si="0">G5*F5</f>
        <v>60</v>
      </c>
      <c r="I5" s="12"/>
    </row>
    <row r="6" spans="1:9" ht="27" customHeight="1" x14ac:dyDescent="0.3">
      <c r="A6" s="39" t="s">
        <v>201</v>
      </c>
      <c r="B6" s="39"/>
      <c r="C6" s="39"/>
      <c r="D6" s="39"/>
      <c r="E6" s="39"/>
      <c r="F6" s="39"/>
      <c r="G6" s="39"/>
      <c r="H6" s="39"/>
    </row>
    <row r="7" spans="1:9" ht="78" x14ac:dyDescent="0.3">
      <c r="A7" s="5" t="s">
        <v>1</v>
      </c>
      <c r="B7" s="5" t="s">
        <v>0</v>
      </c>
      <c r="C7" s="5" t="s">
        <v>200</v>
      </c>
      <c r="D7" s="5" t="s">
        <v>5</v>
      </c>
      <c r="E7" s="41" t="s">
        <v>206</v>
      </c>
      <c r="F7" s="42"/>
      <c r="G7" s="5" t="s">
        <v>202</v>
      </c>
      <c r="H7" s="5" t="s">
        <v>8</v>
      </c>
    </row>
    <row r="8" spans="1:9" ht="15.6" x14ac:dyDescent="0.3">
      <c r="A8" s="7">
        <v>1</v>
      </c>
      <c r="B8" s="11" t="s">
        <v>207</v>
      </c>
      <c r="C8" s="8">
        <v>8397299610.6999998</v>
      </c>
      <c r="D8" s="8">
        <f>100*(C8/C8)</f>
        <v>100</v>
      </c>
      <c r="E8" s="37">
        <f>D8*0.4</f>
        <v>40</v>
      </c>
      <c r="F8" s="38"/>
      <c r="G8" s="8"/>
      <c r="H8" s="12"/>
    </row>
    <row r="9" spans="1:9" ht="15.6" x14ac:dyDescent="0.3">
      <c r="A9" s="7">
        <v>2</v>
      </c>
      <c r="B9" s="7" t="s">
        <v>208</v>
      </c>
      <c r="C9" s="8">
        <v>29436067.59</v>
      </c>
      <c r="D9" s="8">
        <f>100*(C9/C8)</f>
        <v>0.35054206655306186</v>
      </c>
      <c r="E9" s="37">
        <f>D9*0.4</f>
        <v>0.14021682662122475</v>
      </c>
      <c r="F9" s="38"/>
      <c r="G9" s="8"/>
      <c r="H9" s="12"/>
    </row>
    <row r="10" spans="1:9" ht="21" customHeight="1" x14ac:dyDescent="0.3">
      <c r="A10" s="39" t="s">
        <v>203</v>
      </c>
      <c r="B10" s="39"/>
      <c r="C10" s="39"/>
    </row>
    <row r="11" spans="1:9" ht="15.6" x14ac:dyDescent="0.3">
      <c r="A11" s="7">
        <v>1</v>
      </c>
      <c r="B11" s="11" t="s">
        <v>207</v>
      </c>
      <c r="C11" s="8">
        <f>H4+E8</f>
        <v>90.999999754054954</v>
      </c>
    </row>
    <row r="12" spans="1:9" ht="15.6" x14ac:dyDescent="0.3">
      <c r="A12" s="7">
        <v>2</v>
      </c>
      <c r="B12" s="7" t="s">
        <v>208</v>
      </c>
      <c r="C12" s="8">
        <f>H5+E9</f>
        <v>60.140216826621227</v>
      </c>
    </row>
    <row r="13" spans="1:9" x14ac:dyDescent="0.3">
      <c r="C13" s="14"/>
      <c r="D13" s="15"/>
    </row>
  </sheetData>
  <mergeCells count="7">
    <mergeCell ref="E9:F9"/>
    <mergeCell ref="A10:C10"/>
    <mergeCell ref="A1:H1"/>
    <mergeCell ref="A2:H2"/>
    <mergeCell ref="A6:H6"/>
    <mergeCell ref="E7:F7"/>
    <mergeCell ref="E8:F8"/>
  </mergeCells>
  <pageMargins left="0.34226190476190477" right="0.5357142857142857" top="0.41666666666666669" bottom="0.3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"/>
  <sheetViews>
    <sheetView topLeftCell="A201" zoomScale="80" zoomScaleNormal="80" workbookViewId="0">
      <selection activeCell="D202" sqref="D202:D203"/>
    </sheetView>
  </sheetViews>
  <sheetFormatPr defaultRowHeight="14.4" x14ac:dyDescent="0.3"/>
  <cols>
    <col min="1" max="7" width="18.6640625" customWidth="1"/>
    <col min="8" max="8" width="18.6640625" style="13" customWidth="1"/>
    <col min="10" max="10" width="34.5546875" style="13" customWidth="1"/>
  </cols>
  <sheetData>
    <row r="1" spans="1:7" x14ac:dyDescent="0.3">
      <c r="A1" s="33" t="s">
        <v>195</v>
      </c>
    </row>
    <row r="2" spans="1:7" x14ac:dyDescent="0.3">
      <c r="A2" s="33" t="s">
        <v>196</v>
      </c>
    </row>
    <row r="3" spans="1:7" x14ac:dyDescent="0.3">
      <c r="A3" s="33" t="s">
        <v>197</v>
      </c>
    </row>
    <row r="4" spans="1:7" x14ac:dyDescent="0.3">
      <c r="A4" s="34"/>
    </row>
    <row r="6" spans="1:7" x14ac:dyDescent="0.3">
      <c r="A6" s="17" t="s">
        <v>198</v>
      </c>
    </row>
    <row r="8" spans="1:7" x14ac:dyDescent="0.3">
      <c r="A8" s="17" t="s">
        <v>9</v>
      </c>
    </row>
    <row r="9" spans="1:7" x14ac:dyDescent="0.3">
      <c r="A9" s="18" t="s">
        <v>10</v>
      </c>
    </row>
    <row r="10" spans="1:7" ht="72" x14ac:dyDescent="0.3">
      <c r="A10" s="19" t="s">
        <v>11</v>
      </c>
      <c r="B10" s="20" t="s">
        <v>12</v>
      </c>
      <c r="C10" s="20" t="s">
        <v>13</v>
      </c>
      <c r="D10" s="20" t="s">
        <v>14</v>
      </c>
      <c r="E10" s="20" t="s">
        <v>15</v>
      </c>
      <c r="F10" s="20" t="s">
        <v>16</v>
      </c>
      <c r="G10" s="20" t="s">
        <v>17</v>
      </c>
    </row>
    <row r="11" spans="1:7" x14ac:dyDescent="0.3">
      <c r="A11" s="21"/>
      <c r="B11" s="22"/>
      <c r="C11" s="22"/>
      <c r="D11" s="22"/>
      <c r="E11" s="22"/>
      <c r="F11" s="22"/>
      <c r="G11" s="22"/>
    </row>
    <row r="12" spans="1:7" ht="193.2" x14ac:dyDescent="0.3">
      <c r="A12" s="45">
        <v>1</v>
      </c>
      <c r="B12" s="23" t="s">
        <v>18</v>
      </c>
      <c r="C12" s="49" t="s">
        <v>20</v>
      </c>
      <c r="D12" s="49">
        <v>3.73200068619E+17</v>
      </c>
      <c r="E12" s="51">
        <v>43824</v>
      </c>
      <c r="F12" s="53">
        <v>9815293.7100000009</v>
      </c>
      <c r="G12" s="53"/>
    </row>
    <row r="13" spans="1:7" ht="41.4" x14ac:dyDescent="0.3">
      <c r="A13" s="46"/>
      <c r="B13" s="24" t="s">
        <v>19</v>
      </c>
      <c r="C13" s="50"/>
      <c r="D13" s="50"/>
      <c r="E13" s="52"/>
      <c r="F13" s="54"/>
      <c r="G13" s="54"/>
    </row>
    <row r="14" spans="1:7" ht="165.6" x14ac:dyDescent="0.3">
      <c r="A14" s="45">
        <v>2</v>
      </c>
      <c r="B14" s="23" t="s">
        <v>21</v>
      </c>
      <c r="C14" s="49" t="s">
        <v>20</v>
      </c>
      <c r="D14" s="49">
        <v>3.73200068619E+17</v>
      </c>
      <c r="E14" s="51">
        <v>43824</v>
      </c>
      <c r="F14" s="53">
        <v>8207295.4500000002</v>
      </c>
      <c r="G14" s="53"/>
    </row>
    <row r="15" spans="1:7" ht="41.4" x14ac:dyDescent="0.3">
      <c r="A15" s="46"/>
      <c r="B15" s="24" t="s">
        <v>22</v>
      </c>
      <c r="C15" s="50"/>
      <c r="D15" s="50"/>
      <c r="E15" s="52"/>
      <c r="F15" s="54"/>
      <c r="G15" s="54"/>
    </row>
    <row r="16" spans="1:7" ht="409.6" customHeight="1" x14ac:dyDescent="0.3">
      <c r="A16" s="45">
        <v>3</v>
      </c>
      <c r="B16" s="47" t="s">
        <v>23</v>
      </c>
      <c r="C16" s="49" t="s">
        <v>20</v>
      </c>
      <c r="D16" s="49">
        <v>3.73200068619E+17</v>
      </c>
      <c r="E16" s="51">
        <v>43824</v>
      </c>
      <c r="F16" s="26"/>
      <c r="G16" s="26"/>
    </row>
    <row r="17" spans="1:7" x14ac:dyDescent="0.3">
      <c r="A17" s="46"/>
      <c r="B17" s="48"/>
      <c r="C17" s="50"/>
      <c r="D17" s="50"/>
      <c r="E17" s="52"/>
      <c r="F17" s="27">
        <v>9208698.8499999996</v>
      </c>
      <c r="G17" s="27"/>
    </row>
    <row r="18" spans="1:7" ht="317.39999999999998" x14ac:dyDescent="0.3">
      <c r="A18" s="45">
        <v>4</v>
      </c>
      <c r="B18" s="23" t="s">
        <v>24</v>
      </c>
      <c r="C18" s="49" t="s">
        <v>20</v>
      </c>
      <c r="D18" s="49">
        <v>3.73200068619E+17</v>
      </c>
      <c r="E18" s="51">
        <v>43824</v>
      </c>
      <c r="F18" s="53">
        <v>9660161.6999999993</v>
      </c>
      <c r="G18" s="53"/>
    </row>
    <row r="19" spans="1:7" ht="41.4" x14ac:dyDescent="0.3">
      <c r="A19" s="46"/>
      <c r="B19" s="24" t="s">
        <v>25</v>
      </c>
      <c r="C19" s="50"/>
      <c r="D19" s="50"/>
      <c r="E19" s="52"/>
      <c r="F19" s="54"/>
      <c r="G19" s="54"/>
    </row>
    <row r="20" spans="1:7" ht="165.6" x14ac:dyDescent="0.3">
      <c r="A20" s="45">
        <v>5</v>
      </c>
      <c r="B20" s="23" t="s">
        <v>26</v>
      </c>
      <c r="C20" s="49" t="s">
        <v>20</v>
      </c>
      <c r="D20" s="49">
        <v>3.73200068619E+17</v>
      </c>
      <c r="E20" s="51">
        <v>43768</v>
      </c>
      <c r="F20" s="53">
        <v>8601358.4700000007</v>
      </c>
      <c r="G20" s="53"/>
    </row>
    <row r="21" spans="1:7" ht="55.2" x14ac:dyDescent="0.3">
      <c r="A21" s="46"/>
      <c r="B21" s="24" t="s">
        <v>27</v>
      </c>
      <c r="C21" s="50"/>
      <c r="D21" s="50"/>
      <c r="E21" s="52"/>
      <c r="F21" s="54"/>
      <c r="G21" s="54"/>
    </row>
    <row r="22" spans="1:7" ht="138" x14ac:dyDescent="0.3">
      <c r="A22" s="45">
        <v>6</v>
      </c>
      <c r="B22" s="23" t="s">
        <v>28</v>
      </c>
      <c r="C22" s="49" t="s">
        <v>30</v>
      </c>
      <c r="D22" s="49" t="s">
        <v>31</v>
      </c>
      <c r="E22" s="51">
        <v>43829</v>
      </c>
      <c r="F22" s="53">
        <v>6963346.6799999997</v>
      </c>
      <c r="G22" s="53"/>
    </row>
    <row r="23" spans="1:7" ht="41.4" x14ac:dyDescent="0.3">
      <c r="A23" s="46"/>
      <c r="B23" s="24" t="s">
        <v>29</v>
      </c>
      <c r="C23" s="50"/>
      <c r="D23" s="50"/>
      <c r="E23" s="52"/>
      <c r="F23" s="54"/>
      <c r="G23" s="54"/>
    </row>
    <row r="24" spans="1:7" ht="165.6" x14ac:dyDescent="0.3">
      <c r="A24" s="28">
        <v>7</v>
      </c>
      <c r="B24" s="24" t="s">
        <v>32</v>
      </c>
      <c r="C24" s="29" t="s">
        <v>33</v>
      </c>
      <c r="D24" s="29">
        <v>3.3631006306189998E+18</v>
      </c>
      <c r="E24" s="30">
        <v>43651</v>
      </c>
      <c r="F24" s="27">
        <v>5265110.16</v>
      </c>
      <c r="G24" s="27"/>
    </row>
    <row r="25" spans="1:7" ht="124.2" x14ac:dyDescent="0.3">
      <c r="A25" s="28">
        <v>8</v>
      </c>
      <c r="B25" s="24" t="s">
        <v>34</v>
      </c>
      <c r="C25" s="29" t="s">
        <v>35</v>
      </c>
      <c r="D25" s="29">
        <v>3.3607001709190001E+18</v>
      </c>
      <c r="E25" s="30">
        <v>43830</v>
      </c>
      <c r="F25" s="27">
        <v>4410553</v>
      </c>
      <c r="G25" s="27"/>
    </row>
    <row r="26" spans="1:7" ht="151.80000000000001" x14ac:dyDescent="0.3">
      <c r="A26" s="45">
        <v>9</v>
      </c>
      <c r="B26" s="23" t="s">
        <v>36</v>
      </c>
      <c r="C26" s="49" t="s">
        <v>38</v>
      </c>
      <c r="D26" s="49">
        <v>3.3622002087190001E+18</v>
      </c>
      <c r="E26" s="51">
        <v>43708</v>
      </c>
      <c r="F26" s="53">
        <v>3749828.4</v>
      </c>
      <c r="G26" s="53"/>
    </row>
    <row r="27" spans="1:7" ht="41.4" x14ac:dyDescent="0.3">
      <c r="A27" s="46"/>
      <c r="B27" s="24" t="s">
        <v>37</v>
      </c>
      <c r="C27" s="50"/>
      <c r="D27" s="50"/>
      <c r="E27" s="52"/>
      <c r="F27" s="54"/>
      <c r="G27" s="54"/>
    </row>
    <row r="28" spans="1:7" ht="179.4" customHeight="1" x14ac:dyDescent="0.3">
      <c r="A28" s="45">
        <v>10</v>
      </c>
      <c r="B28" s="23" t="s">
        <v>39</v>
      </c>
      <c r="C28" s="49" t="s">
        <v>41</v>
      </c>
      <c r="D28" s="49">
        <v>3.3617007298189998E+18</v>
      </c>
      <c r="E28" s="51">
        <v>43824</v>
      </c>
      <c r="F28" s="53">
        <v>3612988.99</v>
      </c>
      <c r="G28" s="53"/>
    </row>
    <row r="29" spans="1:7" x14ac:dyDescent="0.3">
      <c r="A29" s="46"/>
      <c r="B29" s="24" t="s">
        <v>40</v>
      </c>
      <c r="C29" s="50"/>
      <c r="D29" s="50"/>
      <c r="E29" s="52"/>
      <c r="F29" s="54"/>
      <c r="G29" s="54"/>
    </row>
    <row r="30" spans="1:7" ht="151.80000000000001" x14ac:dyDescent="0.3">
      <c r="A30" s="45">
        <v>11</v>
      </c>
      <c r="B30" s="23" t="s">
        <v>42</v>
      </c>
      <c r="C30" s="49" t="s">
        <v>44</v>
      </c>
      <c r="D30" s="49">
        <v>3.3609001694189998E+18</v>
      </c>
      <c r="E30" s="51">
        <v>43830</v>
      </c>
      <c r="F30" s="53">
        <v>3378487.86</v>
      </c>
      <c r="G30" s="53"/>
    </row>
    <row r="31" spans="1:7" ht="41.4" x14ac:dyDescent="0.3">
      <c r="A31" s="46"/>
      <c r="B31" s="24" t="s">
        <v>43</v>
      </c>
      <c r="C31" s="50"/>
      <c r="D31" s="50"/>
      <c r="E31" s="52"/>
      <c r="F31" s="54"/>
      <c r="G31" s="54"/>
    </row>
    <row r="32" spans="1:7" ht="151.80000000000001" x14ac:dyDescent="0.3">
      <c r="A32" s="45">
        <v>12</v>
      </c>
      <c r="B32" s="23" t="s">
        <v>45</v>
      </c>
      <c r="C32" s="49" t="s">
        <v>47</v>
      </c>
      <c r="D32" s="49">
        <v>3.3609002095190001E+18</v>
      </c>
      <c r="E32" s="51">
        <v>43830</v>
      </c>
      <c r="F32" s="53">
        <v>3216600</v>
      </c>
      <c r="G32" s="53"/>
    </row>
    <row r="33" spans="1:7" x14ac:dyDescent="0.3">
      <c r="A33" s="46"/>
      <c r="B33" s="24" t="s">
        <v>46</v>
      </c>
      <c r="C33" s="50"/>
      <c r="D33" s="50"/>
      <c r="E33" s="52"/>
      <c r="F33" s="54"/>
      <c r="G33" s="54"/>
    </row>
    <row r="34" spans="1:7" ht="151.80000000000001" x14ac:dyDescent="0.3">
      <c r="A34" s="45">
        <v>13</v>
      </c>
      <c r="B34" s="23" t="s">
        <v>48</v>
      </c>
      <c r="C34" s="49" t="s">
        <v>50</v>
      </c>
      <c r="D34" s="49">
        <v>3.3607001346189998E+18</v>
      </c>
      <c r="E34" s="51">
        <v>43830</v>
      </c>
      <c r="F34" s="53">
        <v>3076957</v>
      </c>
      <c r="G34" s="53"/>
    </row>
    <row r="35" spans="1:7" ht="41.4" x14ac:dyDescent="0.3">
      <c r="A35" s="46"/>
      <c r="B35" s="24" t="s">
        <v>49</v>
      </c>
      <c r="C35" s="50"/>
      <c r="D35" s="50"/>
      <c r="E35" s="52"/>
      <c r="F35" s="54"/>
      <c r="G35" s="54"/>
    </row>
    <row r="36" spans="1:7" ht="138" x14ac:dyDescent="0.3">
      <c r="A36" s="45">
        <v>14</v>
      </c>
      <c r="B36" s="23" t="s">
        <v>51</v>
      </c>
      <c r="C36" s="49" t="s">
        <v>53</v>
      </c>
      <c r="D36" s="49">
        <v>3.3631006296189998E+18</v>
      </c>
      <c r="E36" s="51">
        <v>43626</v>
      </c>
      <c r="F36" s="53">
        <v>2711184.6</v>
      </c>
      <c r="G36" s="53"/>
    </row>
    <row r="37" spans="1:7" ht="27.6" x14ac:dyDescent="0.3">
      <c r="A37" s="46"/>
      <c r="B37" s="24" t="s">
        <v>52</v>
      </c>
      <c r="C37" s="50"/>
      <c r="D37" s="50"/>
      <c r="E37" s="52"/>
      <c r="F37" s="54"/>
      <c r="G37" s="54"/>
    </row>
    <row r="38" spans="1:7" ht="165.6" x14ac:dyDescent="0.3">
      <c r="A38" s="45">
        <v>15</v>
      </c>
      <c r="B38" s="23" t="s">
        <v>54</v>
      </c>
      <c r="C38" s="49" t="s">
        <v>56</v>
      </c>
      <c r="D38" s="49">
        <v>3.3628002728189998E+18</v>
      </c>
      <c r="E38" s="51">
        <v>43830</v>
      </c>
      <c r="F38" s="26"/>
      <c r="G38" s="26"/>
    </row>
    <row r="39" spans="1:7" ht="27.6" x14ac:dyDescent="0.3">
      <c r="A39" s="46"/>
      <c r="B39" s="24" t="s">
        <v>55</v>
      </c>
      <c r="C39" s="50"/>
      <c r="D39" s="50"/>
      <c r="E39" s="52"/>
      <c r="F39" s="27">
        <v>2359088.14</v>
      </c>
      <c r="G39" s="27"/>
    </row>
    <row r="40" spans="1:7" ht="165.6" x14ac:dyDescent="0.3">
      <c r="A40" s="45">
        <v>16</v>
      </c>
      <c r="B40" s="23" t="s">
        <v>57</v>
      </c>
      <c r="C40" s="49" t="s">
        <v>59</v>
      </c>
      <c r="D40" s="49">
        <v>3.3615001558189998E+18</v>
      </c>
      <c r="E40" s="51">
        <v>43739</v>
      </c>
      <c r="F40" s="53">
        <v>2038509.04</v>
      </c>
      <c r="G40" s="53"/>
    </row>
    <row r="41" spans="1:7" ht="41.4" x14ac:dyDescent="0.3">
      <c r="A41" s="46"/>
      <c r="B41" s="24" t="s">
        <v>58</v>
      </c>
      <c r="C41" s="50"/>
      <c r="D41" s="50"/>
      <c r="E41" s="52"/>
      <c r="F41" s="54"/>
      <c r="G41" s="54"/>
    </row>
    <row r="42" spans="1:7" ht="82.8" x14ac:dyDescent="0.3">
      <c r="A42" s="45">
        <v>17</v>
      </c>
      <c r="B42" s="23" t="s">
        <v>60</v>
      </c>
      <c r="C42" s="49" t="s">
        <v>62</v>
      </c>
      <c r="D42" s="49">
        <v>3.3631001682189998E+18</v>
      </c>
      <c r="E42" s="51">
        <v>43830</v>
      </c>
      <c r="F42" s="53">
        <v>1654672.8</v>
      </c>
      <c r="G42" s="53"/>
    </row>
    <row r="43" spans="1:7" x14ac:dyDescent="0.3">
      <c r="A43" s="46"/>
      <c r="B43" s="24" t="s">
        <v>61</v>
      </c>
      <c r="C43" s="50"/>
      <c r="D43" s="50"/>
      <c r="E43" s="52"/>
      <c r="F43" s="54"/>
      <c r="G43" s="54"/>
    </row>
    <row r="44" spans="1:7" ht="151.80000000000001" x14ac:dyDescent="0.3">
      <c r="A44" s="45">
        <v>18</v>
      </c>
      <c r="B44" s="23" t="s">
        <v>63</v>
      </c>
      <c r="C44" s="49" t="s">
        <v>65</v>
      </c>
      <c r="D44" s="49">
        <v>3.3617002892189998E+18</v>
      </c>
      <c r="E44" s="51">
        <v>43830</v>
      </c>
      <c r="F44" s="26"/>
      <c r="G44" s="26"/>
    </row>
    <row r="45" spans="1:7" ht="41.4" x14ac:dyDescent="0.3">
      <c r="A45" s="46"/>
      <c r="B45" s="24" t="s">
        <v>64</v>
      </c>
      <c r="C45" s="50"/>
      <c r="D45" s="50"/>
      <c r="E45" s="52"/>
      <c r="F45" s="27">
        <v>1359583</v>
      </c>
      <c r="G45" s="27"/>
    </row>
    <row r="46" spans="1:7" ht="165.6" x14ac:dyDescent="0.3">
      <c r="A46" s="45">
        <v>19</v>
      </c>
      <c r="B46" s="23" t="s">
        <v>66</v>
      </c>
      <c r="C46" s="49" t="s">
        <v>68</v>
      </c>
      <c r="D46" s="49">
        <v>3.3628002284189998E+18</v>
      </c>
      <c r="E46" s="51">
        <v>43830</v>
      </c>
      <c r="F46" s="26"/>
      <c r="G46" s="26"/>
    </row>
    <row r="47" spans="1:7" ht="41.4" x14ac:dyDescent="0.3">
      <c r="A47" s="46"/>
      <c r="B47" s="24" t="s">
        <v>67</v>
      </c>
      <c r="C47" s="50"/>
      <c r="D47" s="50"/>
      <c r="E47" s="52"/>
      <c r="F47" s="27">
        <v>1333819.3899999999</v>
      </c>
      <c r="G47" s="27"/>
    </row>
    <row r="48" spans="1:7" ht="165.6" x14ac:dyDescent="0.3">
      <c r="A48" s="45">
        <v>20</v>
      </c>
      <c r="B48" s="23" t="s">
        <v>69</v>
      </c>
      <c r="C48" s="49" t="s">
        <v>71</v>
      </c>
      <c r="D48" s="49">
        <v>3.3605002256189998E+18</v>
      </c>
      <c r="E48" s="51">
        <v>43706</v>
      </c>
      <c r="F48" s="26"/>
      <c r="G48" s="26"/>
    </row>
    <row r="49" spans="1:7" ht="41.4" x14ac:dyDescent="0.3">
      <c r="A49" s="46"/>
      <c r="B49" s="24" t="s">
        <v>70</v>
      </c>
      <c r="C49" s="50"/>
      <c r="D49" s="50"/>
      <c r="E49" s="52"/>
      <c r="F49" s="27">
        <v>1164335.8500000001</v>
      </c>
      <c r="G49" s="27"/>
    </row>
    <row r="50" spans="1:7" ht="165.6" x14ac:dyDescent="0.3">
      <c r="A50" s="45">
        <v>21</v>
      </c>
      <c r="B50" s="23" t="s">
        <v>72</v>
      </c>
      <c r="C50" s="49" t="s">
        <v>74</v>
      </c>
      <c r="D50" s="49">
        <v>3.3628002904189998E+18</v>
      </c>
      <c r="E50" s="51">
        <v>43799</v>
      </c>
      <c r="F50" s="53">
        <v>1156243.82</v>
      </c>
      <c r="G50" s="53"/>
    </row>
    <row r="51" spans="1:7" x14ac:dyDescent="0.3">
      <c r="A51" s="46"/>
      <c r="B51" s="24" t="s">
        <v>73</v>
      </c>
      <c r="C51" s="50"/>
      <c r="D51" s="50"/>
      <c r="E51" s="52"/>
      <c r="F51" s="54"/>
      <c r="G51" s="54"/>
    </row>
    <row r="52" spans="1:7" ht="151.80000000000001" x14ac:dyDescent="0.3">
      <c r="A52" s="45">
        <v>22</v>
      </c>
      <c r="B52" s="23" t="s">
        <v>75</v>
      </c>
      <c r="C52" s="49" t="s">
        <v>77</v>
      </c>
      <c r="D52" s="49">
        <v>3.3631003263190001E+18</v>
      </c>
      <c r="E52" s="51">
        <v>43830</v>
      </c>
      <c r="F52" s="53">
        <v>1028886.71</v>
      </c>
      <c r="G52" s="53"/>
    </row>
    <row r="53" spans="1:7" x14ac:dyDescent="0.3">
      <c r="A53" s="46"/>
      <c r="B53" s="24" t="s">
        <v>76</v>
      </c>
      <c r="C53" s="50"/>
      <c r="D53" s="50"/>
      <c r="E53" s="52"/>
      <c r="F53" s="54"/>
      <c r="G53" s="54"/>
    </row>
    <row r="54" spans="1:7" ht="82.8" x14ac:dyDescent="0.3">
      <c r="A54" s="45">
        <v>23</v>
      </c>
      <c r="B54" s="23" t="s">
        <v>78</v>
      </c>
      <c r="C54" s="49" t="s">
        <v>80</v>
      </c>
      <c r="D54" s="49">
        <v>3.3631001700189998E+18</v>
      </c>
      <c r="E54" s="51">
        <v>43830</v>
      </c>
      <c r="F54" s="26"/>
      <c r="G54" s="26"/>
    </row>
    <row r="55" spans="1:7" x14ac:dyDescent="0.3">
      <c r="A55" s="46"/>
      <c r="B55" s="24" t="s">
        <v>79</v>
      </c>
      <c r="C55" s="50"/>
      <c r="D55" s="50"/>
      <c r="E55" s="52"/>
      <c r="F55" s="27">
        <v>877990.8</v>
      </c>
      <c r="G55" s="27"/>
    </row>
    <row r="56" spans="1:7" x14ac:dyDescent="0.3">
      <c r="A56" s="55" t="s">
        <v>81</v>
      </c>
      <c r="B56" s="56"/>
      <c r="C56" s="56"/>
      <c r="D56" s="56"/>
      <c r="E56" s="56"/>
      <c r="F56" s="57"/>
      <c r="G56" s="31">
        <f>SUM(G12:G55)</f>
        <v>0</v>
      </c>
    </row>
    <row r="57" spans="1:7" x14ac:dyDescent="0.3">
      <c r="A57" s="18"/>
    </row>
    <row r="58" spans="1:7" x14ac:dyDescent="0.3">
      <c r="A58" s="32" t="s">
        <v>82</v>
      </c>
    </row>
    <row r="59" spans="1:7" ht="72" x14ac:dyDescent="0.3">
      <c r="A59" s="19" t="s">
        <v>11</v>
      </c>
      <c r="B59" s="20" t="s">
        <v>12</v>
      </c>
      <c r="C59" s="20" t="s">
        <v>13</v>
      </c>
      <c r="D59" s="20" t="s">
        <v>14</v>
      </c>
      <c r="E59" s="20" t="s">
        <v>15</v>
      </c>
      <c r="F59" s="20" t="s">
        <v>16</v>
      </c>
      <c r="G59" s="20" t="s">
        <v>17</v>
      </c>
    </row>
    <row r="60" spans="1:7" x14ac:dyDescent="0.3">
      <c r="A60" s="21"/>
      <c r="B60" s="22"/>
      <c r="C60" s="22"/>
      <c r="D60" s="22"/>
      <c r="E60" s="22"/>
      <c r="F60" s="22"/>
      <c r="G60" s="22"/>
    </row>
    <row r="61" spans="1:7" ht="193.2" x14ac:dyDescent="0.3">
      <c r="A61" s="45">
        <v>1</v>
      </c>
      <c r="B61" s="23" t="s">
        <v>83</v>
      </c>
      <c r="C61" s="49" t="s">
        <v>20</v>
      </c>
      <c r="D61" s="49">
        <v>3.7320006862E+17</v>
      </c>
      <c r="E61" s="51">
        <v>44042</v>
      </c>
      <c r="F61" s="53">
        <v>3745675.74</v>
      </c>
      <c r="G61" s="53"/>
    </row>
    <row r="62" spans="1:7" ht="41.4" x14ac:dyDescent="0.3">
      <c r="A62" s="46"/>
      <c r="B62" s="24" t="s">
        <v>84</v>
      </c>
      <c r="C62" s="50"/>
      <c r="D62" s="50"/>
      <c r="E62" s="52"/>
      <c r="F62" s="54"/>
      <c r="G62" s="54"/>
    </row>
    <row r="63" spans="1:7" ht="96.6" x14ac:dyDescent="0.3">
      <c r="A63" s="45">
        <v>2</v>
      </c>
      <c r="B63" s="23" t="s">
        <v>85</v>
      </c>
      <c r="C63" s="49" t="s">
        <v>20</v>
      </c>
      <c r="D63" s="49">
        <v>3.7320006862E+17</v>
      </c>
      <c r="E63" s="51">
        <v>44073</v>
      </c>
      <c r="F63" s="53">
        <v>2898786.97</v>
      </c>
      <c r="G63" s="53"/>
    </row>
    <row r="64" spans="1:7" ht="41.4" x14ac:dyDescent="0.3">
      <c r="A64" s="46"/>
      <c r="B64" s="24" t="s">
        <v>86</v>
      </c>
      <c r="C64" s="50"/>
      <c r="D64" s="50"/>
      <c r="E64" s="52"/>
      <c r="F64" s="54"/>
      <c r="G64" s="54"/>
    </row>
    <row r="65" spans="1:7" ht="220.8" x14ac:dyDescent="0.3">
      <c r="A65" s="45">
        <v>3</v>
      </c>
      <c r="B65" s="23" t="s">
        <v>87</v>
      </c>
      <c r="C65" s="49" t="s">
        <v>20</v>
      </c>
      <c r="D65" s="49">
        <v>3.7320006862E+17</v>
      </c>
      <c r="E65" s="51">
        <v>44167</v>
      </c>
      <c r="F65" s="53">
        <v>2477047.7400000002</v>
      </c>
      <c r="G65" s="53">
        <v>2477047.7400000002</v>
      </c>
    </row>
    <row r="66" spans="1:7" ht="41.4" x14ac:dyDescent="0.3">
      <c r="A66" s="46"/>
      <c r="B66" s="24" t="s">
        <v>88</v>
      </c>
      <c r="C66" s="50"/>
      <c r="D66" s="50"/>
      <c r="E66" s="52"/>
      <c r="F66" s="54"/>
      <c r="G66" s="54"/>
    </row>
    <row r="67" spans="1:7" ht="165.6" x14ac:dyDescent="0.3">
      <c r="A67" s="45">
        <v>4</v>
      </c>
      <c r="B67" s="23" t="s">
        <v>89</v>
      </c>
      <c r="C67" s="49" t="s">
        <v>20</v>
      </c>
      <c r="D67" s="49">
        <v>3.7320006862E+17</v>
      </c>
      <c r="E67" s="51">
        <v>44165</v>
      </c>
      <c r="F67" s="53">
        <v>9529896.0399999991</v>
      </c>
      <c r="G67" s="53">
        <v>9529896.0399999991</v>
      </c>
    </row>
    <row r="68" spans="1:7" ht="41.4" x14ac:dyDescent="0.3">
      <c r="A68" s="46"/>
      <c r="B68" s="24" t="s">
        <v>90</v>
      </c>
      <c r="C68" s="50"/>
      <c r="D68" s="50"/>
      <c r="E68" s="52"/>
      <c r="F68" s="54"/>
      <c r="G68" s="54"/>
    </row>
    <row r="69" spans="1:7" ht="220.8" x14ac:dyDescent="0.3">
      <c r="A69" s="45">
        <v>5</v>
      </c>
      <c r="B69" s="23" t="s">
        <v>91</v>
      </c>
      <c r="C69" s="49" t="s">
        <v>20</v>
      </c>
      <c r="D69" s="49">
        <v>3.7320006862E+17</v>
      </c>
      <c r="E69" s="51">
        <v>44140</v>
      </c>
      <c r="F69" s="53">
        <v>8214768.3799999999</v>
      </c>
      <c r="G69" s="53">
        <v>8214768.3799999999</v>
      </c>
    </row>
    <row r="70" spans="1:7" ht="41.4" x14ac:dyDescent="0.3">
      <c r="A70" s="46"/>
      <c r="B70" s="24" t="s">
        <v>92</v>
      </c>
      <c r="C70" s="50"/>
      <c r="D70" s="50"/>
      <c r="E70" s="52"/>
      <c r="F70" s="54"/>
      <c r="G70" s="54"/>
    </row>
    <row r="71" spans="1:7" ht="138" x14ac:dyDescent="0.3">
      <c r="A71" s="45">
        <v>6</v>
      </c>
      <c r="B71" s="23" t="s">
        <v>93</v>
      </c>
      <c r="C71" s="49" t="s">
        <v>20</v>
      </c>
      <c r="D71" s="49">
        <v>3.7320006862E+17</v>
      </c>
      <c r="E71" s="51">
        <v>44127</v>
      </c>
      <c r="F71" s="53">
        <v>8952602.7599999998</v>
      </c>
      <c r="G71" s="53">
        <v>8952602.7599999998</v>
      </c>
    </row>
    <row r="72" spans="1:7" ht="41.4" x14ac:dyDescent="0.3">
      <c r="A72" s="46"/>
      <c r="B72" s="24" t="s">
        <v>94</v>
      </c>
      <c r="C72" s="50"/>
      <c r="D72" s="50"/>
      <c r="E72" s="52"/>
      <c r="F72" s="54"/>
      <c r="G72" s="54"/>
    </row>
    <row r="73" spans="1:7" ht="165.6" x14ac:dyDescent="0.3">
      <c r="A73" s="45">
        <v>7</v>
      </c>
      <c r="B73" s="23" t="s">
        <v>95</v>
      </c>
      <c r="C73" s="49" t="s">
        <v>20</v>
      </c>
      <c r="D73" s="49">
        <v>3.7320006862E+17</v>
      </c>
      <c r="E73" s="51">
        <v>44155</v>
      </c>
      <c r="F73" s="53">
        <v>8440000</v>
      </c>
      <c r="G73" s="53">
        <v>8440000</v>
      </c>
    </row>
    <row r="74" spans="1:7" ht="41.4" x14ac:dyDescent="0.3">
      <c r="A74" s="46"/>
      <c r="B74" s="24" t="s">
        <v>96</v>
      </c>
      <c r="C74" s="50"/>
      <c r="D74" s="50"/>
      <c r="E74" s="52"/>
      <c r="F74" s="54"/>
      <c r="G74" s="54"/>
    </row>
    <row r="75" spans="1:7" ht="151.80000000000001" x14ac:dyDescent="0.3">
      <c r="A75" s="45">
        <v>8</v>
      </c>
      <c r="B75" s="23" t="s">
        <v>97</v>
      </c>
      <c r="C75" s="49" t="s">
        <v>20</v>
      </c>
      <c r="D75" s="49">
        <v>3.7320006862E+17</v>
      </c>
      <c r="E75" s="51">
        <v>44140</v>
      </c>
      <c r="F75" s="53">
        <v>8250000</v>
      </c>
      <c r="G75" s="53">
        <v>8250000</v>
      </c>
    </row>
    <row r="76" spans="1:7" ht="41.4" x14ac:dyDescent="0.3">
      <c r="A76" s="46"/>
      <c r="B76" s="24" t="s">
        <v>98</v>
      </c>
      <c r="C76" s="50"/>
      <c r="D76" s="50"/>
      <c r="E76" s="52"/>
      <c r="F76" s="54"/>
      <c r="G76" s="54"/>
    </row>
    <row r="77" spans="1:7" ht="151.80000000000001" x14ac:dyDescent="0.3">
      <c r="A77" s="45">
        <v>9</v>
      </c>
      <c r="B77" s="23" t="s">
        <v>99</v>
      </c>
      <c r="C77" s="49" t="s">
        <v>20</v>
      </c>
      <c r="D77" s="49">
        <v>3.7320006862E+17</v>
      </c>
      <c r="E77" s="51">
        <v>44141</v>
      </c>
      <c r="F77" s="53">
        <v>8098041.0199999996</v>
      </c>
      <c r="G77" s="53">
        <v>8098041.0199999996</v>
      </c>
    </row>
    <row r="78" spans="1:7" ht="41.4" x14ac:dyDescent="0.3">
      <c r="A78" s="46"/>
      <c r="B78" s="24" t="s">
        <v>100</v>
      </c>
      <c r="C78" s="50"/>
      <c r="D78" s="50"/>
      <c r="E78" s="52"/>
      <c r="F78" s="54"/>
      <c r="G78" s="54"/>
    </row>
    <row r="79" spans="1:7" ht="110.4" x14ac:dyDescent="0.3">
      <c r="A79" s="45">
        <v>10</v>
      </c>
      <c r="B79" s="23" t="s">
        <v>101</v>
      </c>
      <c r="C79" s="49" t="s">
        <v>20</v>
      </c>
      <c r="D79" s="49">
        <v>3.7320006862E+17</v>
      </c>
      <c r="E79" s="51">
        <v>44152</v>
      </c>
      <c r="F79" s="53">
        <v>8460000</v>
      </c>
      <c r="G79" s="53">
        <v>8460000</v>
      </c>
    </row>
    <row r="80" spans="1:7" ht="41.4" x14ac:dyDescent="0.3">
      <c r="A80" s="46"/>
      <c r="B80" s="24" t="s">
        <v>102</v>
      </c>
      <c r="C80" s="50"/>
      <c r="D80" s="50"/>
      <c r="E80" s="52"/>
      <c r="F80" s="54"/>
      <c r="G80" s="54"/>
    </row>
    <row r="81" spans="1:7" ht="151.80000000000001" x14ac:dyDescent="0.3">
      <c r="A81" s="45">
        <v>11</v>
      </c>
      <c r="B81" s="23" t="s">
        <v>103</v>
      </c>
      <c r="C81" s="49" t="s">
        <v>20</v>
      </c>
      <c r="D81" s="49">
        <v>3.7320006862E+17</v>
      </c>
      <c r="E81" s="51">
        <v>44165</v>
      </c>
      <c r="F81" s="53">
        <v>6500000</v>
      </c>
      <c r="G81" s="53">
        <v>6500000</v>
      </c>
    </row>
    <row r="82" spans="1:7" ht="41.4" x14ac:dyDescent="0.3">
      <c r="A82" s="46"/>
      <c r="B82" s="24" t="s">
        <v>104</v>
      </c>
      <c r="C82" s="50"/>
      <c r="D82" s="50"/>
      <c r="E82" s="52"/>
      <c r="F82" s="54"/>
      <c r="G82" s="54"/>
    </row>
    <row r="83" spans="1:7" ht="124.2" x14ac:dyDescent="0.3">
      <c r="A83" s="45">
        <v>12</v>
      </c>
      <c r="B83" s="23" t="s">
        <v>105</v>
      </c>
      <c r="C83" s="49" t="s">
        <v>20</v>
      </c>
      <c r="D83" s="49">
        <v>3.7320006862E+17</v>
      </c>
      <c r="E83" s="51">
        <v>44165</v>
      </c>
      <c r="F83" s="53">
        <v>4530000</v>
      </c>
      <c r="G83" s="53">
        <v>4530000</v>
      </c>
    </row>
    <row r="84" spans="1:7" ht="41.4" x14ac:dyDescent="0.3">
      <c r="A84" s="46"/>
      <c r="B84" s="24" t="s">
        <v>106</v>
      </c>
      <c r="C84" s="50"/>
      <c r="D84" s="50"/>
      <c r="E84" s="52"/>
      <c r="F84" s="54"/>
      <c r="G84" s="54"/>
    </row>
    <row r="85" spans="1:7" ht="165.6" x14ac:dyDescent="0.3">
      <c r="A85" s="45">
        <v>13</v>
      </c>
      <c r="B85" s="23" t="s">
        <v>107</v>
      </c>
      <c r="C85" s="49" t="s">
        <v>20</v>
      </c>
      <c r="D85" s="49">
        <v>3.7320006862E+17</v>
      </c>
      <c r="E85" s="51">
        <v>44154</v>
      </c>
      <c r="F85" s="53">
        <v>8706708.2899999991</v>
      </c>
      <c r="G85" s="53">
        <v>8706708.2899999991</v>
      </c>
    </row>
    <row r="86" spans="1:7" ht="41.4" x14ac:dyDescent="0.3">
      <c r="A86" s="46"/>
      <c r="B86" s="24" t="s">
        <v>108</v>
      </c>
      <c r="C86" s="50"/>
      <c r="D86" s="50"/>
      <c r="E86" s="52"/>
      <c r="F86" s="54"/>
      <c r="G86" s="54"/>
    </row>
    <row r="87" spans="1:7" ht="165.6" x14ac:dyDescent="0.3">
      <c r="A87" s="45">
        <v>14</v>
      </c>
      <c r="B87" s="23" t="s">
        <v>109</v>
      </c>
      <c r="C87" s="49" t="s">
        <v>20</v>
      </c>
      <c r="D87" s="49">
        <v>3.7320006862E+17</v>
      </c>
      <c r="E87" s="51">
        <v>44141</v>
      </c>
      <c r="F87" s="53">
        <v>8805442.9700000007</v>
      </c>
      <c r="G87" s="53">
        <v>8805442.9700000007</v>
      </c>
    </row>
    <row r="88" spans="1:7" ht="41.4" x14ac:dyDescent="0.3">
      <c r="A88" s="46"/>
      <c r="B88" s="24" t="s">
        <v>110</v>
      </c>
      <c r="C88" s="50"/>
      <c r="D88" s="50"/>
      <c r="E88" s="52"/>
      <c r="F88" s="54"/>
      <c r="G88" s="54"/>
    </row>
    <row r="89" spans="1:7" ht="234.6" x14ac:dyDescent="0.3">
      <c r="A89" s="45">
        <v>15</v>
      </c>
      <c r="B89" s="23" t="s">
        <v>111</v>
      </c>
      <c r="C89" s="49" t="s">
        <v>20</v>
      </c>
      <c r="D89" s="49">
        <v>3.7320006862E+17</v>
      </c>
      <c r="E89" s="51">
        <v>44133</v>
      </c>
      <c r="F89" s="53">
        <v>9014090.4399999995</v>
      </c>
      <c r="G89" s="53">
        <v>9014090.4399999995</v>
      </c>
    </row>
    <row r="90" spans="1:7" ht="69" x14ac:dyDescent="0.3">
      <c r="A90" s="58"/>
      <c r="B90" s="23" t="s">
        <v>112</v>
      </c>
      <c r="C90" s="59"/>
      <c r="D90" s="59"/>
      <c r="E90" s="60"/>
      <c r="F90" s="61"/>
      <c r="G90" s="61"/>
    </row>
    <row r="91" spans="1:7" ht="41.4" x14ac:dyDescent="0.3">
      <c r="A91" s="46"/>
      <c r="B91" s="24" t="s">
        <v>113</v>
      </c>
      <c r="C91" s="50"/>
      <c r="D91" s="50"/>
      <c r="E91" s="52"/>
      <c r="F91" s="54"/>
      <c r="G91" s="54"/>
    </row>
    <row r="92" spans="1:7" ht="124.2" x14ac:dyDescent="0.3">
      <c r="A92" s="45">
        <v>16</v>
      </c>
      <c r="B92" s="23" t="s">
        <v>114</v>
      </c>
      <c r="C92" s="49" t="s">
        <v>20</v>
      </c>
      <c r="D92" s="49">
        <v>3.7320006862E+17</v>
      </c>
      <c r="E92" s="51">
        <v>44180</v>
      </c>
      <c r="F92" s="53">
        <v>7940000</v>
      </c>
      <c r="G92" s="53">
        <v>7940000</v>
      </c>
    </row>
    <row r="93" spans="1:7" ht="41.4" x14ac:dyDescent="0.3">
      <c r="A93" s="46"/>
      <c r="B93" s="24" t="s">
        <v>115</v>
      </c>
      <c r="C93" s="50"/>
      <c r="D93" s="50"/>
      <c r="E93" s="52"/>
      <c r="F93" s="54"/>
      <c r="G93" s="54"/>
    </row>
    <row r="94" spans="1:7" ht="138" x14ac:dyDescent="0.3">
      <c r="A94" s="45">
        <v>17</v>
      </c>
      <c r="B94" s="23" t="s">
        <v>116</v>
      </c>
      <c r="C94" s="49" t="s">
        <v>20</v>
      </c>
      <c r="D94" s="49">
        <v>3.7320006862E+17</v>
      </c>
      <c r="E94" s="51">
        <v>44176</v>
      </c>
      <c r="F94" s="53">
        <v>9991633.75</v>
      </c>
      <c r="G94" s="53">
        <v>9991633.75</v>
      </c>
    </row>
    <row r="95" spans="1:7" ht="41.4" x14ac:dyDescent="0.3">
      <c r="A95" s="46"/>
      <c r="B95" s="24" t="s">
        <v>117</v>
      </c>
      <c r="C95" s="50"/>
      <c r="D95" s="50"/>
      <c r="E95" s="52"/>
      <c r="F95" s="54"/>
      <c r="G95" s="54"/>
    </row>
    <row r="96" spans="1:7" ht="289.8" x14ac:dyDescent="0.3">
      <c r="A96" s="45">
        <v>18</v>
      </c>
      <c r="B96" s="23" t="s">
        <v>118</v>
      </c>
      <c r="C96" s="49" t="s">
        <v>20</v>
      </c>
      <c r="D96" s="49">
        <v>3.7320006862E+17</v>
      </c>
      <c r="E96" s="51">
        <v>44176</v>
      </c>
      <c r="F96" s="53">
        <v>7158066.5499999998</v>
      </c>
      <c r="G96" s="53">
        <v>7158066.5499999998</v>
      </c>
    </row>
    <row r="97" spans="1:7" ht="41.4" x14ac:dyDescent="0.3">
      <c r="A97" s="46"/>
      <c r="B97" s="24" t="s">
        <v>119</v>
      </c>
      <c r="C97" s="50"/>
      <c r="D97" s="50"/>
      <c r="E97" s="52"/>
      <c r="F97" s="54"/>
      <c r="G97" s="54"/>
    </row>
    <row r="98" spans="1:7" ht="220.8" x14ac:dyDescent="0.3">
      <c r="A98" s="45">
        <v>19</v>
      </c>
      <c r="B98" s="23" t="s">
        <v>120</v>
      </c>
      <c r="C98" s="49" t="s">
        <v>20</v>
      </c>
      <c r="D98" s="49">
        <v>3.7320006862E+17</v>
      </c>
      <c r="E98" s="51">
        <v>44176</v>
      </c>
      <c r="F98" s="53">
        <v>6858426.3899999997</v>
      </c>
      <c r="G98" s="53">
        <v>6858426.3899999997</v>
      </c>
    </row>
    <row r="99" spans="1:7" ht="41.4" x14ac:dyDescent="0.3">
      <c r="A99" s="46"/>
      <c r="B99" s="24" t="s">
        <v>121</v>
      </c>
      <c r="C99" s="50"/>
      <c r="D99" s="50"/>
      <c r="E99" s="52"/>
      <c r="F99" s="54"/>
      <c r="G99" s="54"/>
    </row>
    <row r="100" spans="1:7" ht="138" x14ac:dyDescent="0.3">
      <c r="A100" s="45">
        <v>20</v>
      </c>
      <c r="B100" s="23" t="s">
        <v>122</v>
      </c>
      <c r="C100" s="49" t="s">
        <v>20</v>
      </c>
      <c r="D100" s="49">
        <v>3.7320006862E+17</v>
      </c>
      <c r="E100" s="51">
        <v>44180</v>
      </c>
      <c r="F100" s="53">
        <v>9996823.25</v>
      </c>
      <c r="G100" s="53">
        <v>9996823.25</v>
      </c>
    </row>
    <row r="101" spans="1:7" ht="41.4" x14ac:dyDescent="0.3">
      <c r="A101" s="46"/>
      <c r="B101" s="24" t="s">
        <v>123</v>
      </c>
      <c r="C101" s="50"/>
      <c r="D101" s="50"/>
      <c r="E101" s="52"/>
      <c r="F101" s="54"/>
      <c r="G101" s="54"/>
    </row>
    <row r="102" spans="1:7" x14ac:dyDescent="0.3">
      <c r="A102" s="55" t="s">
        <v>81</v>
      </c>
      <c r="B102" s="56"/>
      <c r="C102" s="56"/>
      <c r="D102" s="56"/>
      <c r="E102" s="56"/>
      <c r="F102" s="57"/>
      <c r="G102" s="31">
        <f>SUM(G61:G101)</f>
        <v>141923547.57999998</v>
      </c>
    </row>
    <row r="103" spans="1:7" x14ac:dyDescent="0.3">
      <c r="A103" s="18"/>
    </row>
    <row r="104" spans="1:7" x14ac:dyDescent="0.3">
      <c r="A104" s="32" t="s">
        <v>124</v>
      </c>
    </row>
    <row r="105" spans="1:7" ht="72" x14ac:dyDescent="0.3">
      <c r="A105" s="19" t="s">
        <v>11</v>
      </c>
      <c r="B105" s="20" t="s">
        <v>12</v>
      </c>
      <c r="C105" s="20" t="s">
        <v>13</v>
      </c>
      <c r="D105" s="20" t="s">
        <v>14</v>
      </c>
      <c r="E105" s="20" t="s">
        <v>15</v>
      </c>
      <c r="F105" s="20" t="s">
        <v>16</v>
      </c>
      <c r="G105" s="20" t="s">
        <v>17</v>
      </c>
    </row>
    <row r="106" spans="1:7" x14ac:dyDescent="0.3">
      <c r="A106" s="21"/>
      <c r="B106" s="22"/>
      <c r="C106" s="22"/>
      <c r="D106" s="22"/>
      <c r="E106" s="22"/>
      <c r="F106" s="22"/>
      <c r="G106" s="22"/>
    </row>
    <row r="107" spans="1:7" ht="151.80000000000001" x14ac:dyDescent="0.3">
      <c r="A107" s="45">
        <v>1</v>
      </c>
      <c r="B107" s="23" t="s">
        <v>125</v>
      </c>
      <c r="C107" s="49" t="s">
        <v>20</v>
      </c>
      <c r="D107" s="49">
        <v>3.73200068621E+17</v>
      </c>
      <c r="E107" s="51">
        <v>44408</v>
      </c>
      <c r="F107" s="53">
        <v>9563250.0800000001</v>
      </c>
      <c r="G107" s="53">
        <v>9563250.0800000001</v>
      </c>
    </row>
    <row r="108" spans="1:7" ht="41.4" x14ac:dyDescent="0.3">
      <c r="A108" s="46"/>
      <c r="B108" s="24" t="s">
        <v>126</v>
      </c>
      <c r="C108" s="50"/>
      <c r="D108" s="50"/>
      <c r="E108" s="52"/>
      <c r="F108" s="54"/>
      <c r="G108" s="54"/>
    </row>
    <row r="109" spans="1:7" ht="165.6" x14ac:dyDescent="0.3">
      <c r="A109" s="45">
        <v>2</v>
      </c>
      <c r="B109" s="23" t="s">
        <v>127</v>
      </c>
      <c r="C109" s="49" t="s">
        <v>129</v>
      </c>
      <c r="D109" s="49">
        <v>3.73200068621E+17</v>
      </c>
      <c r="E109" s="51">
        <v>44410</v>
      </c>
      <c r="F109" s="53">
        <v>9100842</v>
      </c>
      <c r="G109" s="53">
        <v>9100842</v>
      </c>
    </row>
    <row r="110" spans="1:7" ht="41.4" x14ac:dyDescent="0.3">
      <c r="A110" s="46"/>
      <c r="B110" s="24" t="s">
        <v>128</v>
      </c>
      <c r="C110" s="50"/>
      <c r="D110" s="50"/>
      <c r="E110" s="52"/>
      <c r="F110" s="54"/>
      <c r="G110" s="54"/>
    </row>
    <row r="111" spans="1:7" ht="165.6" x14ac:dyDescent="0.3">
      <c r="A111" s="45">
        <v>3</v>
      </c>
      <c r="B111" s="23" t="s">
        <v>130</v>
      </c>
      <c r="C111" s="49" t="s">
        <v>20</v>
      </c>
      <c r="D111" s="49">
        <v>3.73200068621E+17</v>
      </c>
      <c r="E111" s="51">
        <v>44410</v>
      </c>
      <c r="F111" s="53">
        <v>9959132.9600000009</v>
      </c>
      <c r="G111" s="53">
        <v>9959132.9600000009</v>
      </c>
    </row>
    <row r="112" spans="1:7" ht="41.4" x14ac:dyDescent="0.3">
      <c r="A112" s="46"/>
      <c r="B112" s="24" t="s">
        <v>131</v>
      </c>
      <c r="C112" s="50"/>
      <c r="D112" s="50"/>
      <c r="E112" s="52"/>
      <c r="F112" s="54"/>
      <c r="G112" s="54"/>
    </row>
    <row r="113" spans="1:7" ht="151.80000000000001" x14ac:dyDescent="0.3">
      <c r="A113" s="45">
        <v>4</v>
      </c>
      <c r="B113" s="23" t="s">
        <v>132</v>
      </c>
      <c r="C113" s="49" t="s">
        <v>20</v>
      </c>
      <c r="D113" s="49">
        <v>3.73200068621E+17</v>
      </c>
      <c r="E113" s="51">
        <v>44410</v>
      </c>
      <c r="F113" s="53">
        <v>7595149.8600000003</v>
      </c>
      <c r="G113" s="53">
        <v>7595149.8600000003</v>
      </c>
    </row>
    <row r="114" spans="1:7" ht="41.4" x14ac:dyDescent="0.3">
      <c r="A114" s="46"/>
      <c r="B114" s="24" t="s">
        <v>133</v>
      </c>
      <c r="C114" s="50"/>
      <c r="D114" s="50"/>
      <c r="E114" s="52"/>
      <c r="F114" s="54"/>
      <c r="G114" s="54"/>
    </row>
    <row r="115" spans="1:7" ht="151.80000000000001" x14ac:dyDescent="0.3">
      <c r="A115" s="45">
        <v>5</v>
      </c>
      <c r="B115" s="23" t="s">
        <v>134</v>
      </c>
      <c r="C115" s="49" t="s">
        <v>20</v>
      </c>
      <c r="D115" s="49">
        <v>3.73200068621E+17</v>
      </c>
      <c r="E115" s="51">
        <v>44408</v>
      </c>
      <c r="F115" s="53">
        <v>9641831.2100000009</v>
      </c>
      <c r="G115" s="53">
        <v>9641831.2100000009</v>
      </c>
    </row>
    <row r="116" spans="1:7" ht="41.4" x14ac:dyDescent="0.3">
      <c r="A116" s="46"/>
      <c r="B116" s="24" t="s">
        <v>135</v>
      </c>
      <c r="C116" s="50"/>
      <c r="D116" s="50"/>
      <c r="E116" s="52"/>
      <c r="F116" s="54"/>
      <c r="G116" s="54"/>
    </row>
    <row r="117" spans="1:7" ht="165.6" x14ac:dyDescent="0.3">
      <c r="A117" s="45">
        <v>6</v>
      </c>
      <c r="B117" s="23" t="s">
        <v>136</v>
      </c>
      <c r="C117" s="49" t="s">
        <v>20</v>
      </c>
      <c r="D117" s="49">
        <v>3.73200068621E+17</v>
      </c>
      <c r="E117" s="51">
        <v>44408</v>
      </c>
      <c r="F117" s="53">
        <v>8437605.8399999999</v>
      </c>
      <c r="G117" s="53">
        <v>8437605.8399999999</v>
      </c>
    </row>
    <row r="118" spans="1:7" ht="41.4" x14ac:dyDescent="0.3">
      <c r="A118" s="46"/>
      <c r="B118" s="24" t="s">
        <v>137</v>
      </c>
      <c r="C118" s="50"/>
      <c r="D118" s="50"/>
      <c r="E118" s="52"/>
      <c r="F118" s="54"/>
      <c r="G118" s="54"/>
    </row>
    <row r="119" spans="1:7" ht="138" x14ac:dyDescent="0.3">
      <c r="A119" s="45">
        <v>7</v>
      </c>
      <c r="B119" s="23" t="s">
        <v>138</v>
      </c>
      <c r="C119" s="49" t="s">
        <v>20</v>
      </c>
      <c r="D119" s="49">
        <v>3.73200068621E+17</v>
      </c>
      <c r="E119" s="51">
        <v>44408</v>
      </c>
      <c r="F119" s="53">
        <v>7365985.3200000003</v>
      </c>
      <c r="G119" s="53">
        <v>7365985.3200000003</v>
      </c>
    </row>
    <row r="120" spans="1:7" ht="41.4" x14ac:dyDescent="0.3">
      <c r="A120" s="46"/>
      <c r="B120" s="24" t="s">
        <v>139</v>
      </c>
      <c r="C120" s="50"/>
      <c r="D120" s="50"/>
      <c r="E120" s="52"/>
      <c r="F120" s="54"/>
      <c r="G120" s="54"/>
    </row>
    <row r="121" spans="1:7" ht="165.6" x14ac:dyDescent="0.3">
      <c r="A121" s="45">
        <v>8</v>
      </c>
      <c r="B121" s="23" t="s">
        <v>140</v>
      </c>
      <c r="C121" s="25" t="s">
        <v>142</v>
      </c>
      <c r="D121" s="49">
        <v>12021035</v>
      </c>
      <c r="E121" s="51">
        <v>44438</v>
      </c>
      <c r="F121" s="53">
        <v>9430000</v>
      </c>
      <c r="G121" s="53">
        <v>9430000</v>
      </c>
    </row>
    <row r="122" spans="1:7" ht="27.6" x14ac:dyDescent="0.3">
      <c r="A122" s="46"/>
      <c r="B122" s="24" t="s">
        <v>141</v>
      </c>
      <c r="C122" s="29" t="s">
        <v>143</v>
      </c>
      <c r="D122" s="50"/>
      <c r="E122" s="52"/>
      <c r="F122" s="54"/>
      <c r="G122" s="54"/>
    </row>
    <row r="123" spans="1:7" ht="193.2" x14ac:dyDescent="0.3">
      <c r="A123" s="45">
        <v>9</v>
      </c>
      <c r="B123" s="23" t="s">
        <v>144</v>
      </c>
      <c r="C123" s="25" t="s">
        <v>142</v>
      </c>
      <c r="D123" s="49">
        <v>12021054</v>
      </c>
      <c r="E123" s="51">
        <v>44438</v>
      </c>
      <c r="F123" s="53">
        <v>7370000</v>
      </c>
      <c r="G123" s="53">
        <v>7370000</v>
      </c>
    </row>
    <row r="124" spans="1:7" ht="27.6" x14ac:dyDescent="0.3">
      <c r="A124" s="46"/>
      <c r="B124" s="24" t="s">
        <v>145</v>
      </c>
      <c r="C124" s="29" t="s">
        <v>143</v>
      </c>
      <c r="D124" s="50"/>
      <c r="E124" s="52"/>
      <c r="F124" s="54"/>
      <c r="G124" s="54"/>
    </row>
    <row r="125" spans="1:7" ht="138" x14ac:dyDescent="0.3">
      <c r="A125" s="28">
        <v>10</v>
      </c>
      <c r="B125" s="24" t="s">
        <v>146</v>
      </c>
      <c r="C125" s="29" t="s">
        <v>20</v>
      </c>
      <c r="D125" s="29">
        <v>3.73200068621E+17</v>
      </c>
      <c r="E125" s="30">
        <v>44354</v>
      </c>
      <c r="F125" s="27">
        <v>8142675.7800000003</v>
      </c>
      <c r="G125" s="27">
        <v>8142675.7800000003</v>
      </c>
    </row>
    <row r="126" spans="1:7" ht="138" x14ac:dyDescent="0.3">
      <c r="A126" s="28">
        <v>11</v>
      </c>
      <c r="B126" s="24" t="s">
        <v>147</v>
      </c>
      <c r="C126" s="29" t="s">
        <v>20</v>
      </c>
      <c r="D126" s="29">
        <v>3.73200068621E+17</v>
      </c>
      <c r="E126" s="30">
        <v>44354</v>
      </c>
      <c r="F126" s="27">
        <v>8322988.2999999998</v>
      </c>
      <c r="G126" s="27">
        <v>8322988.2999999998</v>
      </c>
    </row>
    <row r="127" spans="1:7" ht="138" x14ac:dyDescent="0.3">
      <c r="A127" s="28">
        <v>12</v>
      </c>
      <c r="B127" s="24" t="s">
        <v>148</v>
      </c>
      <c r="C127" s="29" t="s">
        <v>20</v>
      </c>
      <c r="D127" s="29">
        <v>3.73200068621E+17</v>
      </c>
      <c r="E127" s="30">
        <v>44354</v>
      </c>
      <c r="F127" s="27">
        <v>9999898.5099999998</v>
      </c>
      <c r="G127" s="27">
        <v>9999898.5099999998</v>
      </c>
    </row>
    <row r="128" spans="1:7" ht="409.6" customHeight="1" x14ac:dyDescent="0.3">
      <c r="A128" s="45">
        <v>13</v>
      </c>
      <c r="B128" s="47" t="s">
        <v>149</v>
      </c>
      <c r="C128" s="25" t="s">
        <v>142</v>
      </c>
      <c r="D128" s="49">
        <v>12021070</v>
      </c>
      <c r="E128" s="51">
        <v>44347</v>
      </c>
      <c r="F128" s="53">
        <v>9930000</v>
      </c>
      <c r="G128" s="53">
        <v>9930000</v>
      </c>
    </row>
    <row r="129" spans="1:7" x14ac:dyDescent="0.3">
      <c r="A129" s="46"/>
      <c r="B129" s="48"/>
      <c r="C129" s="29" t="s">
        <v>143</v>
      </c>
      <c r="D129" s="50"/>
      <c r="E129" s="52"/>
      <c r="F129" s="54"/>
      <c r="G129" s="54"/>
    </row>
    <row r="130" spans="1:7" ht="372.6" customHeight="1" x14ac:dyDescent="0.3">
      <c r="A130" s="45">
        <v>14</v>
      </c>
      <c r="B130" s="47" t="s">
        <v>150</v>
      </c>
      <c r="C130" s="25" t="s">
        <v>151</v>
      </c>
      <c r="D130" s="49">
        <v>32110120785</v>
      </c>
      <c r="E130" s="51">
        <v>44454</v>
      </c>
      <c r="F130" s="53">
        <v>49976988.770000003</v>
      </c>
      <c r="G130" s="53">
        <v>49976988.770000003</v>
      </c>
    </row>
    <row r="131" spans="1:7" x14ac:dyDescent="0.3">
      <c r="A131" s="46"/>
      <c r="B131" s="48"/>
      <c r="C131" s="29" t="s">
        <v>152</v>
      </c>
      <c r="D131" s="50"/>
      <c r="E131" s="52"/>
      <c r="F131" s="54"/>
      <c r="G131" s="54"/>
    </row>
    <row r="132" spans="1:7" ht="400.2" customHeight="1" x14ac:dyDescent="0.3">
      <c r="A132" s="45">
        <v>15</v>
      </c>
      <c r="B132" s="47" t="s">
        <v>153</v>
      </c>
      <c r="C132" s="25" t="s">
        <v>142</v>
      </c>
      <c r="D132" s="49">
        <v>12021071</v>
      </c>
      <c r="E132" s="51">
        <v>44347</v>
      </c>
      <c r="F132" s="53">
        <v>7855000</v>
      </c>
      <c r="G132" s="53">
        <v>7855000</v>
      </c>
    </row>
    <row r="133" spans="1:7" x14ac:dyDescent="0.3">
      <c r="A133" s="46"/>
      <c r="B133" s="48"/>
      <c r="C133" s="29" t="s">
        <v>143</v>
      </c>
      <c r="D133" s="50"/>
      <c r="E133" s="52"/>
      <c r="F133" s="54"/>
      <c r="G133" s="54"/>
    </row>
    <row r="134" spans="1:7" ht="69" x14ac:dyDescent="0.3">
      <c r="A134" s="45">
        <v>16</v>
      </c>
      <c r="B134" s="23" t="s">
        <v>154</v>
      </c>
      <c r="C134" s="25" t="s">
        <v>142</v>
      </c>
      <c r="D134" s="49">
        <v>12021074</v>
      </c>
      <c r="E134" s="51">
        <v>44347</v>
      </c>
      <c r="F134" s="53">
        <v>9595000</v>
      </c>
      <c r="G134" s="53">
        <v>9595000</v>
      </c>
    </row>
    <row r="135" spans="1:7" ht="69" x14ac:dyDescent="0.3">
      <c r="A135" s="46"/>
      <c r="B135" s="24" t="s">
        <v>155</v>
      </c>
      <c r="C135" s="29" t="s">
        <v>143</v>
      </c>
      <c r="D135" s="50"/>
      <c r="E135" s="52"/>
      <c r="F135" s="54"/>
      <c r="G135" s="54"/>
    </row>
    <row r="136" spans="1:7" ht="179.4" customHeight="1" x14ac:dyDescent="0.3">
      <c r="A136" s="45">
        <v>17</v>
      </c>
      <c r="B136" s="47" t="s">
        <v>156</v>
      </c>
      <c r="C136" s="25" t="s">
        <v>142</v>
      </c>
      <c r="D136" s="49">
        <v>12021075</v>
      </c>
      <c r="E136" s="51">
        <v>44347</v>
      </c>
      <c r="F136" s="53">
        <v>9350000</v>
      </c>
      <c r="G136" s="53">
        <v>9350000</v>
      </c>
    </row>
    <row r="137" spans="1:7" x14ac:dyDescent="0.3">
      <c r="A137" s="46"/>
      <c r="B137" s="48"/>
      <c r="C137" s="29" t="s">
        <v>143</v>
      </c>
      <c r="D137" s="50"/>
      <c r="E137" s="52"/>
      <c r="F137" s="54"/>
      <c r="G137" s="54"/>
    </row>
    <row r="138" spans="1:7" ht="55.2" x14ac:dyDescent="0.3">
      <c r="A138" s="45">
        <v>18</v>
      </c>
      <c r="B138" s="23" t="s">
        <v>157</v>
      </c>
      <c r="C138" s="25" t="s">
        <v>142</v>
      </c>
      <c r="D138" s="49">
        <v>12021076</v>
      </c>
      <c r="E138" s="51">
        <v>44347</v>
      </c>
      <c r="F138" s="53">
        <v>8390000</v>
      </c>
      <c r="G138" s="53">
        <v>8390000</v>
      </c>
    </row>
    <row r="139" spans="1:7" ht="165.6" x14ac:dyDescent="0.3">
      <c r="A139" s="46"/>
      <c r="B139" s="24" t="s">
        <v>158</v>
      </c>
      <c r="C139" s="29" t="s">
        <v>143</v>
      </c>
      <c r="D139" s="50"/>
      <c r="E139" s="52"/>
      <c r="F139" s="54"/>
      <c r="G139" s="54"/>
    </row>
    <row r="140" spans="1:7" ht="409.6" customHeight="1" x14ac:dyDescent="0.3">
      <c r="A140" s="45">
        <v>19</v>
      </c>
      <c r="B140" s="47" t="s">
        <v>159</v>
      </c>
      <c r="C140" s="25" t="s">
        <v>142</v>
      </c>
      <c r="D140" s="49">
        <v>12021096</v>
      </c>
      <c r="E140" s="51">
        <v>44364</v>
      </c>
      <c r="F140" s="53">
        <v>107226069.13</v>
      </c>
      <c r="G140" s="53">
        <v>94881998.129999995</v>
      </c>
    </row>
    <row r="141" spans="1:7" x14ac:dyDescent="0.3">
      <c r="A141" s="46"/>
      <c r="B141" s="48"/>
      <c r="C141" s="29" t="s">
        <v>143</v>
      </c>
      <c r="D141" s="50"/>
      <c r="E141" s="52"/>
      <c r="F141" s="54"/>
      <c r="G141" s="54"/>
    </row>
    <row r="142" spans="1:7" ht="409.6" customHeight="1" x14ac:dyDescent="0.3">
      <c r="A142" s="45">
        <v>20</v>
      </c>
      <c r="B142" s="47" t="s">
        <v>160</v>
      </c>
      <c r="C142" s="25" t="s">
        <v>142</v>
      </c>
      <c r="D142" s="49">
        <v>12021178</v>
      </c>
      <c r="E142" s="51">
        <v>44413</v>
      </c>
      <c r="F142" s="53">
        <v>8533549.9399999995</v>
      </c>
      <c r="G142" s="53">
        <v>8533549.9399999995</v>
      </c>
    </row>
    <row r="143" spans="1:7" x14ac:dyDescent="0.3">
      <c r="A143" s="46"/>
      <c r="B143" s="48"/>
      <c r="C143" s="29" t="s">
        <v>143</v>
      </c>
      <c r="D143" s="50"/>
      <c r="E143" s="52"/>
      <c r="F143" s="54"/>
      <c r="G143" s="54"/>
    </row>
    <row r="144" spans="1:7" ht="409.6" customHeight="1" x14ac:dyDescent="0.3">
      <c r="A144" s="45">
        <v>21</v>
      </c>
      <c r="B144" s="47" t="s">
        <v>161</v>
      </c>
      <c r="C144" s="25" t="s">
        <v>142</v>
      </c>
      <c r="D144" s="49">
        <v>12021173</v>
      </c>
      <c r="E144" s="51">
        <v>44411</v>
      </c>
      <c r="F144" s="53">
        <v>44941104</v>
      </c>
      <c r="G144" s="53">
        <v>44941104</v>
      </c>
    </row>
    <row r="145" spans="1:7" x14ac:dyDescent="0.3">
      <c r="A145" s="46"/>
      <c r="B145" s="48"/>
      <c r="C145" s="29" t="s">
        <v>143</v>
      </c>
      <c r="D145" s="50"/>
      <c r="E145" s="52"/>
      <c r="F145" s="54"/>
      <c r="G145" s="54"/>
    </row>
    <row r="146" spans="1:7" ht="409.6" customHeight="1" x14ac:dyDescent="0.3">
      <c r="A146" s="45">
        <v>22</v>
      </c>
      <c r="B146" s="47" t="s">
        <v>162</v>
      </c>
      <c r="C146" s="25" t="s">
        <v>142</v>
      </c>
      <c r="D146" s="49">
        <v>12021223</v>
      </c>
      <c r="E146" s="51">
        <v>44432</v>
      </c>
      <c r="F146" s="53">
        <v>1051812.03</v>
      </c>
      <c r="G146" s="53">
        <v>1051812.03</v>
      </c>
    </row>
    <row r="147" spans="1:7" x14ac:dyDescent="0.3">
      <c r="A147" s="46"/>
      <c r="B147" s="48"/>
      <c r="C147" s="29" t="s">
        <v>143</v>
      </c>
      <c r="D147" s="50"/>
      <c r="E147" s="52"/>
      <c r="F147" s="54"/>
      <c r="G147" s="54"/>
    </row>
    <row r="148" spans="1:7" ht="207" x14ac:dyDescent="0.3">
      <c r="A148" s="28">
        <v>23</v>
      </c>
      <c r="B148" s="24" t="s">
        <v>163</v>
      </c>
      <c r="C148" s="29" t="s">
        <v>20</v>
      </c>
      <c r="D148" s="29">
        <v>3.73200068621E+17</v>
      </c>
      <c r="E148" s="30">
        <v>44417</v>
      </c>
      <c r="F148" s="27">
        <v>6464260</v>
      </c>
      <c r="G148" s="27">
        <v>6464260</v>
      </c>
    </row>
    <row r="149" spans="1:7" ht="207" x14ac:dyDescent="0.3">
      <c r="A149" s="28">
        <v>24</v>
      </c>
      <c r="B149" s="24" t="s">
        <v>164</v>
      </c>
      <c r="C149" s="29" t="s">
        <v>20</v>
      </c>
      <c r="D149" s="29">
        <v>3.73200068621E+17</v>
      </c>
      <c r="E149" s="30">
        <v>44417</v>
      </c>
      <c r="F149" s="27">
        <v>8176730.7800000003</v>
      </c>
      <c r="G149" s="27"/>
    </row>
    <row r="150" spans="1:7" ht="55.2" x14ac:dyDescent="0.3">
      <c r="A150" s="45">
        <v>25</v>
      </c>
      <c r="B150" s="23" t="s">
        <v>157</v>
      </c>
      <c r="C150" s="25" t="s">
        <v>142</v>
      </c>
      <c r="D150" s="49">
        <v>12021234</v>
      </c>
      <c r="E150" s="51">
        <v>44432</v>
      </c>
      <c r="F150" s="53">
        <v>4644880.6900000004</v>
      </c>
      <c r="G150" s="53">
        <v>4644880.6900000004</v>
      </c>
    </row>
    <row r="151" spans="1:7" ht="165.6" x14ac:dyDescent="0.3">
      <c r="A151" s="46"/>
      <c r="B151" s="24" t="s">
        <v>165</v>
      </c>
      <c r="C151" s="29" t="s">
        <v>143</v>
      </c>
      <c r="D151" s="50"/>
      <c r="E151" s="52"/>
      <c r="F151" s="54"/>
      <c r="G151" s="54"/>
    </row>
    <row r="152" spans="1:7" ht="193.2" x14ac:dyDescent="0.3">
      <c r="A152" s="28">
        <v>26</v>
      </c>
      <c r="B152" s="24" t="s">
        <v>166</v>
      </c>
      <c r="C152" s="29" t="s">
        <v>20</v>
      </c>
      <c r="D152" s="29">
        <v>3.73200068621E+17</v>
      </c>
      <c r="E152" s="30">
        <v>44509</v>
      </c>
      <c r="F152" s="27">
        <v>7254241.7800000003</v>
      </c>
      <c r="G152" s="27">
        <v>7254241.7800000003</v>
      </c>
    </row>
    <row r="153" spans="1:7" ht="248.4" x14ac:dyDescent="0.3">
      <c r="A153" s="28">
        <v>27</v>
      </c>
      <c r="B153" s="24" t="s">
        <v>167</v>
      </c>
      <c r="C153" s="29" t="s">
        <v>20</v>
      </c>
      <c r="D153" s="29">
        <v>3.73200068621E+17</v>
      </c>
      <c r="E153" s="30">
        <v>44509</v>
      </c>
      <c r="F153" s="27">
        <v>9974043.6099999994</v>
      </c>
      <c r="G153" s="27"/>
    </row>
    <row r="154" spans="1:7" ht="262.2" x14ac:dyDescent="0.3">
      <c r="A154" s="28">
        <v>28</v>
      </c>
      <c r="B154" s="24" t="s">
        <v>168</v>
      </c>
      <c r="C154" s="29" t="s">
        <v>20</v>
      </c>
      <c r="D154" s="29">
        <v>3.73200068621E+17</v>
      </c>
      <c r="E154" s="30">
        <v>44509</v>
      </c>
      <c r="F154" s="27">
        <v>8914253.1099999994</v>
      </c>
      <c r="G154" s="27"/>
    </row>
    <row r="155" spans="1:7" ht="55.2" x14ac:dyDescent="0.3">
      <c r="A155" s="45">
        <v>29</v>
      </c>
      <c r="B155" s="23" t="s">
        <v>157</v>
      </c>
      <c r="C155" s="25" t="s">
        <v>142</v>
      </c>
      <c r="D155" s="49">
        <v>12021349</v>
      </c>
      <c r="E155" s="51">
        <v>44519</v>
      </c>
      <c r="F155" s="53">
        <v>6833979.8399999999</v>
      </c>
      <c r="G155" s="53">
        <v>6833979.8399999999</v>
      </c>
    </row>
    <row r="156" spans="1:7" ht="110.4" x14ac:dyDescent="0.3">
      <c r="A156" s="46"/>
      <c r="B156" s="24" t="s">
        <v>169</v>
      </c>
      <c r="C156" s="29" t="s">
        <v>143</v>
      </c>
      <c r="D156" s="50"/>
      <c r="E156" s="52"/>
      <c r="F156" s="54"/>
      <c r="G156" s="54"/>
    </row>
    <row r="157" spans="1:7" ht="55.2" x14ac:dyDescent="0.3">
      <c r="A157" s="45">
        <v>30</v>
      </c>
      <c r="B157" s="23" t="s">
        <v>157</v>
      </c>
      <c r="C157" s="25" t="s">
        <v>142</v>
      </c>
      <c r="D157" s="49">
        <v>12021350</v>
      </c>
      <c r="E157" s="51">
        <v>44519</v>
      </c>
      <c r="F157" s="53">
        <v>4630520.6100000003</v>
      </c>
      <c r="G157" s="53">
        <v>4630520.6100000003</v>
      </c>
    </row>
    <row r="158" spans="1:7" ht="96.6" x14ac:dyDescent="0.3">
      <c r="A158" s="46"/>
      <c r="B158" s="24" t="s">
        <v>170</v>
      </c>
      <c r="C158" s="29" t="s">
        <v>143</v>
      </c>
      <c r="D158" s="50"/>
      <c r="E158" s="52"/>
      <c r="F158" s="54"/>
      <c r="G158" s="54"/>
    </row>
    <row r="159" spans="1:7" ht="372.6" customHeight="1" x14ac:dyDescent="0.3">
      <c r="A159" s="45">
        <v>31</v>
      </c>
      <c r="B159" s="47" t="s">
        <v>171</v>
      </c>
      <c r="C159" s="25" t="s">
        <v>172</v>
      </c>
      <c r="D159" s="49" t="s">
        <v>174</v>
      </c>
      <c r="E159" s="51">
        <v>44554</v>
      </c>
      <c r="F159" s="53">
        <v>107591932.23999999</v>
      </c>
      <c r="G159" s="53">
        <v>107591932.23999999</v>
      </c>
    </row>
    <row r="160" spans="1:7" x14ac:dyDescent="0.3">
      <c r="A160" s="46"/>
      <c r="B160" s="48"/>
      <c r="C160" s="29" t="s">
        <v>173</v>
      </c>
      <c r="D160" s="50"/>
      <c r="E160" s="52"/>
      <c r="F160" s="54"/>
      <c r="G160" s="54"/>
    </row>
    <row r="161" spans="1:7" ht="165.6" customHeight="1" x14ac:dyDescent="0.3">
      <c r="A161" s="45">
        <v>32</v>
      </c>
      <c r="B161" s="47" t="s">
        <v>175</v>
      </c>
      <c r="C161" s="25" t="s">
        <v>172</v>
      </c>
      <c r="D161" s="49" t="s">
        <v>176</v>
      </c>
      <c r="E161" s="51">
        <v>44530</v>
      </c>
      <c r="F161" s="53">
        <v>32993256.23</v>
      </c>
      <c r="G161" s="53">
        <v>32993256.23</v>
      </c>
    </row>
    <row r="162" spans="1:7" x14ac:dyDescent="0.3">
      <c r="A162" s="46"/>
      <c r="B162" s="48"/>
      <c r="C162" s="29" t="s">
        <v>173</v>
      </c>
      <c r="D162" s="50"/>
      <c r="E162" s="52"/>
      <c r="F162" s="54"/>
      <c r="G162" s="54"/>
    </row>
    <row r="163" spans="1:7" x14ac:dyDescent="0.3">
      <c r="A163" s="43" t="s">
        <v>81</v>
      </c>
      <c r="B163" s="44"/>
      <c r="C163" s="44"/>
      <c r="D163" s="44"/>
      <c r="E163" s="44"/>
      <c r="F163" s="31">
        <v>559256982.63</v>
      </c>
      <c r="G163" s="35">
        <f>SUM(G107:G162)</f>
        <v>519847884.11999995</v>
      </c>
    </row>
    <row r="164" spans="1:7" x14ac:dyDescent="0.3">
      <c r="A164" s="32"/>
    </row>
    <row r="165" spans="1:7" x14ac:dyDescent="0.3">
      <c r="A165" s="18" t="s">
        <v>177</v>
      </c>
    </row>
    <row r="166" spans="1:7" ht="57.6" x14ac:dyDescent="0.3">
      <c r="A166" s="19" t="s">
        <v>11</v>
      </c>
      <c r="B166" s="20" t="s">
        <v>12</v>
      </c>
      <c r="C166" s="20" t="s">
        <v>13</v>
      </c>
      <c r="D166" s="20" t="s">
        <v>178</v>
      </c>
      <c r="E166" s="20" t="s">
        <v>15</v>
      </c>
      <c r="F166" s="20" t="s">
        <v>16</v>
      </c>
      <c r="G166" s="20" t="s">
        <v>17</v>
      </c>
    </row>
    <row r="167" spans="1:7" x14ac:dyDescent="0.3">
      <c r="A167" s="21"/>
      <c r="B167" s="22"/>
      <c r="C167" s="22"/>
      <c r="D167" s="22"/>
      <c r="E167" s="22"/>
      <c r="F167" s="22"/>
      <c r="G167" s="22"/>
    </row>
    <row r="168" spans="1:7" ht="409.6" customHeight="1" x14ac:dyDescent="0.3">
      <c r="A168" s="45">
        <v>1</v>
      </c>
      <c r="B168" s="47" t="s">
        <v>179</v>
      </c>
      <c r="C168" s="25" t="s">
        <v>142</v>
      </c>
      <c r="D168" s="49">
        <v>12021454</v>
      </c>
      <c r="E168" s="51">
        <v>44651</v>
      </c>
      <c r="F168" s="53">
        <v>6655596.54</v>
      </c>
      <c r="G168" s="53">
        <v>6141637.9299999997</v>
      </c>
    </row>
    <row r="169" spans="1:7" x14ac:dyDescent="0.3">
      <c r="A169" s="46"/>
      <c r="B169" s="48"/>
      <c r="C169" s="29" t="s">
        <v>143</v>
      </c>
      <c r="D169" s="50"/>
      <c r="E169" s="52"/>
      <c r="F169" s="54"/>
      <c r="G169" s="54"/>
    </row>
    <row r="170" spans="1:7" ht="409.6" customHeight="1" x14ac:dyDescent="0.3">
      <c r="A170" s="45">
        <v>2</v>
      </c>
      <c r="B170" s="47" t="s">
        <v>180</v>
      </c>
      <c r="C170" s="25" t="s">
        <v>142</v>
      </c>
      <c r="D170" s="49">
        <v>12021455</v>
      </c>
      <c r="E170" s="51">
        <v>44651</v>
      </c>
      <c r="F170" s="53">
        <v>9765017.7899999991</v>
      </c>
      <c r="G170" s="53">
        <v>9765017.7899999991</v>
      </c>
    </row>
    <row r="171" spans="1:7" x14ac:dyDescent="0.3">
      <c r="A171" s="46"/>
      <c r="B171" s="48"/>
      <c r="C171" s="29" t="s">
        <v>143</v>
      </c>
      <c r="D171" s="50"/>
      <c r="E171" s="52"/>
      <c r="F171" s="54"/>
      <c r="G171" s="54"/>
    </row>
    <row r="172" spans="1:7" ht="409.6" customHeight="1" x14ac:dyDescent="0.3">
      <c r="A172" s="45">
        <v>3</v>
      </c>
      <c r="B172" s="47" t="s">
        <v>181</v>
      </c>
      <c r="C172" s="25" t="s">
        <v>142</v>
      </c>
      <c r="D172" s="49">
        <v>12022044</v>
      </c>
      <c r="E172" s="51">
        <v>44915</v>
      </c>
      <c r="F172" s="53">
        <v>274018661.98000002</v>
      </c>
      <c r="G172" s="53">
        <v>269569199.25</v>
      </c>
    </row>
    <row r="173" spans="1:7" x14ac:dyDescent="0.3">
      <c r="A173" s="46"/>
      <c r="B173" s="48"/>
      <c r="C173" s="29" t="s">
        <v>143</v>
      </c>
      <c r="D173" s="50"/>
      <c r="E173" s="52"/>
      <c r="F173" s="54"/>
      <c r="G173" s="54"/>
    </row>
    <row r="174" spans="1:7" ht="386.4" customHeight="1" x14ac:dyDescent="0.3">
      <c r="A174" s="45">
        <v>4</v>
      </c>
      <c r="B174" s="47" t="s">
        <v>182</v>
      </c>
      <c r="C174" s="25" t="s">
        <v>142</v>
      </c>
      <c r="D174" s="49">
        <v>12022047</v>
      </c>
      <c r="E174" s="51">
        <v>44915</v>
      </c>
      <c r="F174" s="53">
        <v>131020227.06</v>
      </c>
      <c r="G174" s="53">
        <v>131020227.06</v>
      </c>
    </row>
    <row r="175" spans="1:7" x14ac:dyDescent="0.3">
      <c r="A175" s="46"/>
      <c r="B175" s="48"/>
      <c r="C175" s="29" t="s">
        <v>143</v>
      </c>
      <c r="D175" s="50"/>
      <c r="E175" s="52"/>
      <c r="F175" s="54"/>
      <c r="G175" s="54"/>
    </row>
    <row r="176" spans="1:7" ht="400.2" customHeight="1" x14ac:dyDescent="0.3">
      <c r="A176" s="45">
        <v>5</v>
      </c>
      <c r="B176" s="47" t="s">
        <v>183</v>
      </c>
      <c r="C176" s="25" t="s">
        <v>142</v>
      </c>
      <c r="D176" s="49">
        <v>12022123</v>
      </c>
      <c r="E176" s="51">
        <v>45090</v>
      </c>
      <c r="F176" s="53">
        <v>76404933.459999993</v>
      </c>
      <c r="G176" s="53">
        <v>76404933.459999993</v>
      </c>
    </row>
    <row r="177" spans="1:7" x14ac:dyDescent="0.3">
      <c r="A177" s="46"/>
      <c r="B177" s="48"/>
      <c r="C177" s="29" t="s">
        <v>143</v>
      </c>
      <c r="D177" s="50"/>
      <c r="E177" s="52"/>
      <c r="F177" s="54"/>
      <c r="G177" s="54"/>
    </row>
    <row r="178" spans="1:7" ht="400.2" customHeight="1" x14ac:dyDescent="0.3">
      <c r="A178" s="45">
        <v>6</v>
      </c>
      <c r="B178" s="47" t="s">
        <v>184</v>
      </c>
      <c r="C178" s="25" t="s">
        <v>142</v>
      </c>
      <c r="D178" s="49">
        <v>12022185</v>
      </c>
      <c r="E178" s="51">
        <v>44803</v>
      </c>
      <c r="F178" s="53">
        <v>4413203.21</v>
      </c>
      <c r="G178" s="53">
        <v>4413203.21</v>
      </c>
    </row>
    <row r="179" spans="1:7" x14ac:dyDescent="0.3">
      <c r="A179" s="46"/>
      <c r="B179" s="48"/>
      <c r="C179" s="29" t="s">
        <v>143</v>
      </c>
      <c r="D179" s="50"/>
      <c r="E179" s="52"/>
      <c r="F179" s="54"/>
      <c r="G179" s="54"/>
    </row>
    <row r="180" spans="1:7" ht="409.6" customHeight="1" x14ac:dyDescent="0.3">
      <c r="A180" s="45">
        <v>7</v>
      </c>
      <c r="B180" s="47" t="s">
        <v>185</v>
      </c>
      <c r="C180" s="25" t="s">
        <v>142</v>
      </c>
      <c r="D180" s="49">
        <v>12022079</v>
      </c>
      <c r="E180" s="51">
        <v>44834</v>
      </c>
      <c r="F180" s="49" t="s">
        <v>186</v>
      </c>
      <c r="G180" s="49" t="s">
        <v>186</v>
      </c>
    </row>
    <row r="181" spans="1:7" x14ac:dyDescent="0.3">
      <c r="A181" s="46"/>
      <c r="B181" s="48"/>
      <c r="C181" s="29" t="s">
        <v>143</v>
      </c>
      <c r="D181" s="50"/>
      <c r="E181" s="52"/>
      <c r="F181" s="50"/>
      <c r="G181" s="50"/>
    </row>
    <row r="182" spans="1:7" ht="262.2" customHeight="1" x14ac:dyDescent="0.3">
      <c r="A182" s="45">
        <v>8</v>
      </c>
      <c r="B182" s="47" t="s">
        <v>187</v>
      </c>
      <c r="C182" s="25" t="s">
        <v>142</v>
      </c>
      <c r="D182" s="49">
        <v>22022142</v>
      </c>
      <c r="E182" s="51">
        <v>44799</v>
      </c>
      <c r="F182" s="53">
        <v>4778279.0199999996</v>
      </c>
      <c r="G182" s="53">
        <v>4778279.0199999996</v>
      </c>
    </row>
    <row r="183" spans="1:7" x14ac:dyDescent="0.3">
      <c r="A183" s="46"/>
      <c r="B183" s="48"/>
      <c r="C183" s="29" t="s">
        <v>143</v>
      </c>
      <c r="D183" s="50"/>
      <c r="E183" s="52"/>
      <c r="F183" s="54"/>
      <c r="G183" s="54"/>
    </row>
    <row r="184" spans="1:7" ht="409.6" customHeight="1" x14ac:dyDescent="0.3">
      <c r="A184" s="45">
        <v>9</v>
      </c>
      <c r="B184" s="47" t="s">
        <v>188</v>
      </c>
      <c r="C184" s="25" t="s">
        <v>142</v>
      </c>
      <c r="D184" s="49">
        <v>12022288</v>
      </c>
      <c r="E184" s="51">
        <v>44834</v>
      </c>
      <c r="F184" s="53">
        <v>9827652.4399999995</v>
      </c>
      <c r="G184" s="53">
        <v>9807955.8699999992</v>
      </c>
    </row>
    <row r="185" spans="1:7" x14ac:dyDescent="0.3">
      <c r="A185" s="46"/>
      <c r="B185" s="48"/>
      <c r="C185" s="29" t="s">
        <v>143</v>
      </c>
      <c r="D185" s="50"/>
      <c r="E185" s="52"/>
      <c r="F185" s="54"/>
      <c r="G185" s="54"/>
    </row>
    <row r="186" spans="1:7" ht="409.6" customHeight="1" x14ac:dyDescent="0.3">
      <c r="A186" s="45">
        <v>10</v>
      </c>
      <c r="B186" s="47" t="s">
        <v>189</v>
      </c>
      <c r="C186" s="25" t="s">
        <v>142</v>
      </c>
      <c r="D186" s="49">
        <v>12022323</v>
      </c>
      <c r="E186" s="51">
        <v>44900</v>
      </c>
      <c r="F186" s="53">
        <v>7528959.8300000001</v>
      </c>
      <c r="G186" s="53">
        <v>7528959.8300000001</v>
      </c>
    </row>
    <row r="187" spans="1:7" x14ac:dyDescent="0.3">
      <c r="A187" s="46"/>
      <c r="B187" s="48"/>
      <c r="C187" s="29" t="s">
        <v>143</v>
      </c>
      <c r="D187" s="50"/>
      <c r="E187" s="52"/>
      <c r="F187" s="54"/>
      <c r="G187" s="54"/>
    </row>
    <row r="188" spans="1:7" ht="409.6" customHeight="1" x14ac:dyDescent="0.3">
      <c r="A188" s="45">
        <v>11</v>
      </c>
      <c r="B188" s="47" t="s">
        <v>190</v>
      </c>
      <c r="C188" s="25" t="s">
        <v>142</v>
      </c>
      <c r="D188" s="49">
        <v>12022324</v>
      </c>
      <c r="E188" s="51">
        <v>44900</v>
      </c>
      <c r="F188" s="53">
        <v>45993197.549999997</v>
      </c>
      <c r="G188" s="53">
        <v>45651822.359999999</v>
      </c>
    </row>
    <row r="189" spans="1:7" x14ac:dyDescent="0.3">
      <c r="A189" s="46"/>
      <c r="B189" s="48"/>
      <c r="C189" s="29" t="s">
        <v>143</v>
      </c>
      <c r="D189" s="50"/>
      <c r="E189" s="52"/>
      <c r="F189" s="54"/>
      <c r="G189" s="54"/>
    </row>
    <row r="190" spans="1:7" ht="409.6" customHeight="1" x14ac:dyDescent="0.3">
      <c r="A190" s="45">
        <v>12</v>
      </c>
      <c r="B190" s="47" t="s">
        <v>190</v>
      </c>
      <c r="C190" s="25" t="s">
        <v>142</v>
      </c>
      <c r="D190" s="49">
        <v>12022325</v>
      </c>
      <c r="E190" s="51">
        <v>44900</v>
      </c>
      <c r="F190" s="53">
        <v>19572521.710000001</v>
      </c>
      <c r="G190" s="53">
        <v>19572521.710000001</v>
      </c>
    </row>
    <row r="191" spans="1:7" x14ac:dyDescent="0.3">
      <c r="A191" s="46"/>
      <c r="B191" s="48"/>
      <c r="C191" s="29" t="s">
        <v>143</v>
      </c>
      <c r="D191" s="50"/>
      <c r="E191" s="52"/>
      <c r="F191" s="54"/>
      <c r="G191" s="54"/>
    </row>
    <row r="192" spans="1:7" ht="409.6" customHeight="1" x14ac:dyDescent="0.3">
      <c r="A192" s="45">
        <v>13</v>
      </c>
      <c r="B192" s="47" t="s">
        <v>191</v>
      </c>
      <c r="C192" s="25" t="s">
        <v>142</v>
      </c>
      <c r="D192" s="49">
        <v>12022326</v>
      </c>
      <c r="E192" s="51">
        <v>44900</v>
      </c>
      <c r="F192" s="53">
        <v>6545569.0800000001</v>
      </c>
      <c r="G192" s="53">
        <v>6220935.6200000001</v>
      </c>
    </row>
    <row r="193" spans="1:7" x14ac:dyDescent="0.3">
      <c r="A193" s="46"/>
      <c r="B193" s="48"/>
      <c r="C193" s="29" t="s">
        <v>143</v>
      </c>
      <c r="D193" s="50"/>
      <c r="E193" s="52"/>
      <c r="F193" s="54"/>
      <c r="G193" s="54"/>
    </row>
    <row r="194" spans="1:7" ht="400.2" customHeight="1" x14ac:dyDescent="0.3">
      <c r="A194" s="45">
        <v>14</v>
      </c>
      <c r="B194" s="47" t="s">
        <v>192</v>
      </c>
      <c r="C194" s="25" t="s">
        <v>142</v>
      </c>
      <c r="D194" s="49">
        <v>12022327</v>
      </c>
      <c r="E194" s="51">
        <v>44900</v>
      </c>
      <c r="F194" s="53">
        <v>16258742.41</v>
      </c>
      <c r="G194" s="53">
        <v>13991564.82</v>
      </c>
    </row>
    <row r="195" spans="1:7" x14ac:dyDescent="0.3">
      <c r="A195" s="46"/>
      <c r="B195" s="48"/>
      <c r="C195" s="29" t="s">
        <v>143</v>
      </c>
      <c r="D195" s="50"/>
      <c r="E195" s="52"/>
      <c r="F195" s="54"/>
      <c r="G195" s="54"/>
    </row>
    <row r="196" spans="1:7" ht="400.2" customHeight="1" x14ac:dyDescent="0.3">
      <c r="A196" s="45">
        <v>15</v>
      </c>
      <c r="B196" s="47" t="s">
        <v>192</v>
      </c>
      <c r="C196" s="25" t="s">
        <v>142</v>
      </c>
      <c r="D196" s="49">
        <v>12022328</v>
      </c>
      <c r="E196" s="51">
        <v>44900</v>
      </c>
      <c r="F196" s="53">
        <v>49658517.549999997</v>
      </c>
      <c r="G196" s="53">
        <v>49135242.140000001</v>
      </c>
    </row>
    <row r="197" spans="1:7" x14ac:dyDescent="0.3">
      <c r="A197" s="46"/>
      <c r="B197" s="48"/>
      <c r="C197" s="29" t="s">
        <v>143</v>
      </c>
      <c r="D197" s="50"/>
      <c r="E197" s="52"/>
      <c r="F197" s="54"/>
      <c r="G197" s="54"/>
    </row>
    <row r="198" spans="1:7" ht="262.2" customHeight="1" x14ac:dyDescent="0.3">
      <c r="A198" s="45">
        <v>16</v>
      </c>
      <c r="B198" s="47" t="s">
        <v>193</v>
      </c>
      <c r="C198" s="25" t="s">
        <v>142</v>
      </c>
      <c r="D198" s="49">
        <v>22022162</v>
      </c>
      <c r="E198" s="51">
        <v>44799</v>
      </c>
      <c r="F198" s="53">
        <v>629633.18000000005</v>
      </c>
      <c r="G198" s="53">
        <v>629633.18000000005</v>
      </c>
    </row>
    <row r="199" spans="1:7" x14ac:dyDescent="0.3">
      <c r="A199" s="46"/>
      <c r="B199" s="48"/>
      <c r="C199" s="29" t="s">
        <v>143</v>
      </c>
      <c r="D199" s="50"/>
      <c r="E199" s="52"/>
      <c r="F199" s="54"/>
      <c r="G199" s="54"/>
    </row>
    <row r="200" spans="1:7" ht="165.6" customHeight="1" x14ac:dyDescent="0.3">
      <c r="A200" s="45">
        <v>17</v>
      </c>
      <c r="B200" s="47" t="s">
        <v>194</v>
      </c>
      <c r="C200" s="25" t="s">
        <v>142</v>
      </c>
      <c r="D200" s="49">
        <v>12023204</v>
      </c>
      <c r="E200" s="51">
        <v>45096</v>
      </c>
      <c r="F200" s="53">
        <v>21245764.09</v>
      </c>
      <c r="G200" s="53">
        <v>21245764.09</v>
      </c>
    </row>
    <row r="201" spans="1:7" x14ac:dyDescent="0.3">
      <c r="A201" s="46"/>
      <c r="B201" s="48"/>
      <c r="C201" s="29" t="s">
        <v>143</v>
      </c>
      <c r="D201" s="50"/>
      <c r="E201" s="52"/>
      <c r="F201" s="54"/>
      <c r="G201" s="54"/>
    </row>
    <row r="202" spans="1:7" ht="386.4" customHeight="1" x14ac:dyDescent="0.3">
      <c r="A202" s="45">
        <v>18</v>
      </c>
      <c r="B202" s="47" t="s">
        <v>182</v>
      </c>
      <c r="C202" s="25" t="s">
        <v>142</v>
      </c>
      <c r="D202" s="49">
        <v>12023397</v>
      </c>
      <c r="E202" s="51">
        <v>45167</v>
      </c>
      <c r="F202" s="53">
        <v>3574126.09</v>
      </c>
      <c r="G202" s="53">
        <v>3561988.47</v>
      </c>
    </row>
    <row r="203" spans="1:7" x14ac:dyDescent="0.3">
      <c r="A203" s="46"/>
      <c r="B203" s="48"/>
      <c r="C203" s="29" t="s">
        <v>143</v>
      </c>
      <c r="D203" s="50"/>
      <c r="E203" s="52"/>
      <c r="F203" s="54"/>
      <c r="G203" s="54"/>
    </row>
    <row r="204" spans="1:7" x14ac:dyDescent="0.3">
      <c r="A204" s="43" t="s">
        <v>81</v>
      </c>
      <c r="B204" s="44"/>
      <c r="C204" s="44"/>
      <c r="D204" s="44"/>
      <c r="E204" s="44"/>
      <c r="F204" s="31">
        <v>687890602.98000002</v>
      </c>
      <c r="G204" s="31">
        <f>SUM(G168:G203)</f>
        <v>679438885.81000006</v>
      </c>
    </row>
    <row r="205" spans="1:7" x14ac:dyDescent="0.3">
      <c r="A205" s="18"/>
      <c r="G205" s="16">
        <f>G204+G163+G102+G56</f>
        <v>1341210317.51</v>
      </c>
    </row>
  </sheetData>
  <mergeCells count="484">
    <mergeCell ref="A14:A15"/>
    <mergeCell ref="C14:C15"/>
    <mergeCell ref="D14:D15"/>
    <mergeCell ref="E14:E15"/>
    <mergeCell ref="F14:F15"/>
    <mergeCell ref="G14:G15"/>
    <mergeCell ref="A12:A13"/>
    <mergeCell ref="C12:C13"/>
    <mergeCell ref="D12:D13"/>
    <mergeCell ref="E12:E13"/>
    <mergeCell ref="F12:F13"/>
    <mergeCell ref="G12:G13"/>
    <mergeCell ref="A18:A19"/>
    <mergeCell ref="C18:C19"/>
    <mergeCell ref="D18:D19"/>
    <mergeCell ref="E18:E19"/>
    <mergeCell ref="F18:F19"/>
    <mergeCell ref="G18:G19"/>
    <mergeCell ref="A16:A17"/>
    <mergeCell ref="B16:B17"/>
    <mergeCell ref="C16:C17"/>
    <mergeCell ref="D16:D17"/>
    <mergeCell ref="E16:E17"/>
    <mergeCell ref="A22:A23"/>
    <mergeCell ref="C22:C23"/>
    <mergeCell ref="D22:D23"/>
    <mergeCell ref="E22:E23"/>
    <mergeCell ref="F22:F23"/>
    <mergeCell ref="G22:G23"/>
    <mergeCell ref="A20:A21"/>
    <mergeCell ref="C20:C21"/>
    <mergeCell ref="D20:D21"/>
    <mergeCell ref="E20:E21"/>
    <mergeCell ref="F20:F21"/>
    <mergeCell ref="G20:G21"/>
    <mergeCell ref="A28:A29"/>
    <mergeCell ref="C28:C29"/>
    <mergeCell ref="D28:D29"/>
    <mergeCell ref="E28:E29"/>
    <mergeCell ref="F28:F29"/>
    <mergeCell ref="G28:G29"/>
    <mergeCell ref="A26:A27"/>
    <mergeCell ref="C26:C27"/>
    <mergeCell ref="D26:D27"/>
    <mergeCell ref="E26:E27"/>
    <mergeCell ref="F26:F27"/>
    <mergeCell ref="G26:G27"/>
    <mergeCell ref="A32:A33"/>
    <mergeCell ref="C32:C33"/>
    <mergeCell ref="D32:D33"/>
    <mergeCell ref="E32:E33"/>
    <mergeCell ref="F32:F33"/>
    <mergeCell ref="G32:G33"/>
    <mergeCell ref="A30:A31"/>
    <mergeCell ref="C30:C31"/>
    <mergeCell ref="D30:D31"/>
    <mergeCell ref="E30:E31"/>
    <mergeCell ref="F30:F31"/>
    <mergeCell ref="G30:G31"/>
    <mergeCell ref="A36:A37"/>
    <mergeCell ref="C36:C37"/>
    <mergeCell ref="D36:D37"/>
    <mergeCell ref="E36:E37"/>
    <mergeCell ref="F36:F37"/>
    <mergeCell ref="G36:G37"/>
    <mergeCell ref="A34:A35"/>
    <mergeCell ref="C34:C35"/>
    <mergeCell ref="D34:D35"/>
    <mergeCell ref="E34:E35"/>
    <mergeCell ref="F34:F35"/>
    <mergeCell ref="G34:G35"/>
    <mergeCell ref="A38:A39"/>
    <mergeCell ref="C38:C39"/>
    <mergeCell ref="D38:D39"/>
    <mergeCell ref="E38:E39"/>
    <mergeCell ref="A40:A41"/>
    <mergeCell ref="C40:C41"/>
    <mergeCell ref="D40:D41"/>
    <mergeCell ref="E40:E41"/>
    <mergeCell ref="F40:F41"/>
    <mergeCell ref="A44:A45"/>
    <mergeCell ref="C44:C45"/>
    <mergeCell ref="D44:D45"/>
    <mergeCell ref="E44:E45"/>
    <mergeCell ref="A46:A47"/>
    <mergeCell ref="C46:C47"/>
    <mergeCell ref="D46:D47"/>
    <mergeCell ref="E46:E47"/>
    <mergeCell ref="G40:G41"/>
    <mergeCell ref="A42:A43"/>
    <mergeCell ref="C42:C43"/>
    <mergeCell ref="D42:D43"/>
    <mergeCell ref="E42:E43"/>
    <mergeCell ref="F42:F43"/>
    <mergeCell ref="G42:G43"/>
    <mergeCell ref="F50:F51"/>
    <mergeCell ref="G50:G51"/>
    <mergeCell ref="A52:A53"/>
    <mergeCell ref="C52:C53"/>
    <mergeCell ref="D52:D53"/>
    <mergeCell ref="E52:E53"/>
    <mergeCell ref="F52:F53"/>
    <mergeCell ref="G52:G53"/>
    <mergeCell ref="A48:A49"/>
    <mergeCell ref="C48:C49"/>
    <mergeCell ref="D48:D49"/>
    <mergeCell ref="E48:E49"/>
    <mergeCell ref="A50:A51"/>
    <mergeCell ref="C50:C51"/>
    <mergeCell ref="D50:D51"/>
    <mergeCell ref="E50:E51"/>
    <mergeCell ref="A61:A62"/>
    <mergeCell ref="C61:C62"/>
    <mergeCell ref="D61:D62"/>
    <mergeCell ref="E61:E62"/>
    <mergeCell ref="F61:F62"/>
    <mergeCell ref="G61:G62"/>
    <mergeCell ref="A54:A55"/>
    <mergeCell ref="C54:C55"/>
    <mergeCell ref="D54:D55"/>
    <mergeCell ref="E54:E55"/>
    <mergeCell ref="A56:F56"/>
    <mergeCell ref="A65:A66"/>
    <mergeCell ref="C65:C66"/>
    <mergeCell ref="D65:D66"/>
    <mergeCell ref="E65:E66"/>
    <mergeCell ref="F65:F66"/>
    <mergeCell ref="G65:G66"/>
    <mergeCell ref="A63:A64"/>
    <mergeCell ref="C63:C64"/>
    <mergeCell ref="D63:D64"/>
    <mergeCell ref="E63:E64"/>
    <mergeCell ref="F63:F64"/>
    <mergeCell ref="G63:G64"/>
    <mergeCell ref="A69:A70"/>
    <mergeCell ref="C69:C70"/>
    <mergeCell ref="D69:D70"/>
    <mergeCell ref="E69:E70"/>
    <mergeCell ref="F69:F70"/>
    <mergeCell ref="G69:G70"/>
    <mergeCell ref="A67:A68"/>
    <mergeCell ref="C67:C68"/>
    <mergeCell ref="D67:D68"/>
    <mergeCell ref="E67:E68"/>
    <mergeCell ref="F67:F68"/>
    <mergeCell ref="G67:G68"/>
    <mergeCell ref="A73:A74"/>
    <mergeCell ref="C73:C74"/>
    <mergeCell ref="D73:D74"/>
    <mergeCell ref="E73:E74"/>
    <mergeCell ref="F73:F74"/>
    <mergeCell ref="G73:G74"/>
    <mergeCell ref="A71:A72"/>
    <mergeCell ref="C71:C72"/>
    <mergeCell ref="D71:D72"/>
    <mergeCell ref="E71:E72"/>
    <mergeCell ref="F71:F72"/>
    <mergeCell ref="G71:G72"/>
    <mergeCell ref="A77:A78"/>
    <mergeCell ref="C77:C78"/>
    <mergeCell ref="D77:D78"/>
    <mergeCell ref="E77:E78"/>
    <mergeCell ref="F77:F78"/>
    <mergeCell ref="G77:G78"/>
    <mergeCell ref="A75:A76"/>
    <mergeCell ref="C75:C76"/>
    <mergeCell ref="D75:D76"/>
    <mergeCell ref="E75:E76"/>
    <mergeCell ref="F75:F76"/>
    <mergeCell ref="G75:G76"/>
    <mergeCell ref="A81:A82"/>
    <mergeCell ref="C81:C82"/>
    <mergeCell ref="D81:D82"/>
    <mergeCell ref="E81:E82"/>
    <mergeCell ref="F81:F82"/>
    <mergeCell ref="G81:G82"/>
    <mergeCell ref="A79:A80"/>
    <mergeCell ref="C79:C80"/>
    <mergeCell ref="D79:D80"/>
    <mergeCell ref="E79:E80"/>
    <mergeCell ref="F79:F80"/>
    <mergeCell ref="G79:G80"/>
    <mergeCell ref="A85:A86"/>
    <mergeCell ref="C85:C86"/>
    <mergeCell ref="D85:D86"/>
    <mergeCell ref="E85:E86"/>
    <mergeCell ref="F85:F86"/>
    <mergeCell ref="G85:G86"/>
    <mergeCell ref="A83:A84"/>
    <mergeCell ref="C83:C84"/>
    <mergeCell ref="D83:D84"/>
    <mergeCell ref="E83:E84"/>
    <mergeCell ref="F83:F84"/>
    <mergeCell ref="G83:G84"/>
    <mergeCell ref="A89:A91"/>
    <mergeCell ref="C89:C91"/>
    <mergeCell ref="D89:D91"/>
    <mergeCell ref="E89:E91"/>
    <mergeCell ref="F89:F91"/>
    <mergeCell ref="G89:G91"/>
    <mergeCell ref="A87:A88"/>
    <mergeCell ref="C87:C88"/>
    <mergeCell ref="D87:D88"/>
    <mergeCell ref="E87:E88"/>
    <mergeCell ref="F87:F88"/>
    <mergeCell ref="G87:G88"/>
    <mergeCell ref="A94:A95"/>
    <mergeCell ref="C94:C95"/>
    <mergeCell ref="D94:D95"/>
    <mergeCell ref="E94:E95"/>
    <mergeCell ref="F94:F95"/>
    <mergeCell ref="G94:G95"/>
    <mergeCell ref="A92:A93"/>
    <mergeCell ref="C92:C93"/>
    <mergeCell ref="D92:D93"/>
    <mergeCell ref="E92:E93"/>
    <mergeCell ref="F92:F93"/>
    <mergeCell ref="G92:G93"/>
    <mergeCell ref="G100:G101"/>
    <mergeCell ref="A98:A99"/>
    <mergeCell ref="C98:C99"/>
    <mergeCell ref="D98:D99"/>
    <mergeCell ref="E98:E99"/>
    <mergeCell ref="F98:F99"/>
    <mergeCell ref="G98:G99"/>
    <mergeCell ref="A96:A97"/>
    <mergeCell ref="C96:C97"/>
    <mergeCell ref="D96:D97"/>
    <mergeCell ref="E96:E97"/>
    <mergeCell ref="F96:F97"/>
    <mergeCell ref="G96:G97"/>
    <mergeCell ref="A102:F102"/>
    <mergeCell ref="A107:A108"/>
    <mergeCell ref="C107:C108"/>
    <mergeCell ref="D107:D108"/>
    <mergeCell ref="E107:E108"/>
    <mergeCell ref="F107:F108"/>
    <mergeCell ref="A100:A101"/>
    <mergeCell ref="C100:C101"/>
    <mergeCell ref="D100:D101"/>
    <mergeCell ref="E100:E101"/>
    <mergeCell ref="F100:F101"/>
    <mergeCell ref="A111:A112"/>
    <mergeCell ref="C111:C112"/>
    <mergeCell ref="D111:D112"/>
    <mergeCell ref="E111:E112"/>
    <mergeCell ref="F111:F112"/>
    <mergeCell ref="G111:G112"/>
    <mergeCell ref="G107:G108"/>
    <mergeCell ref="A109:A110"/>
    <mergeCell ref="C109:C110"/>
    <mergeCell ref="D109:D110"/>
    <mergeCell ref="E109:E110"/>
    <mergeCell ref="F109:F110"/>
    <mergeCell ref="G109:G110"/>
    <mergeCell ref="A115:A116"/>
    <mergeCell ref="C115:C116"/>
    <mergeCell ref="D115:D116"/>
    <mergeCell ref="E115:E116"/>
    <mergeCell ref="F115:F116"/>
    <mergeCell ref="G115:G116"/>
    <mergeCell ref="A113:A114"/>
    <mergeCell ref="C113:C114"/>
    <mergeCell ref="D113:D114"/>
    <mergeCell ref="E113:E114"/>
    <mergeCell ref="F113:F114"/>
    <mergeCell ref="G113:G114"/>
    <mergeCell ref="A119:A120"/>
    <mergeCell ref="C119:C120"/>
    <mergeCell ref="D119:D120"/>
    <mergeCell ref="E119:E120"/>
    <mergeCell ref="F119:F120"/>
    <mergeCell ref="G119:G120"/>
    <mergeCell ref="A117:A118"/>
    <mergeCell ref="C117:C118"/>
    <mergeCell ref="D117:D118"/>
    <mergeCell ref="E117:E118"/>
    <mergeCell ref="F117:F118"/>
    <mergeCell ref="G117:G118"/>
    <mergeCell ref="A128:A129"/>
    <mergeCell ref="B128:B129"/>
    <mergeCell ref="D128:D129"/>
    <mergeCell ref="E128:E129"/>
    <mergeCell ref="F128:F129"/>
    <mergeCell ref="G128:G129"/>
    <mergeCell ref="A121:A122"/>
    <mergeCell ref="D121:D122"/>
    <mergeCell ref="E121:E122"/>
    <mergeCell ref="F121:F122"/>
    <mergeCell ref="G121:G122"/>
    <mergeCell ref="A123:A124"/>
    <mergeCell ref="D123:D124"/>
    <mergeCell ref="E123:E124"/>
    <mergeCell ref="F123:F124"/>
    <mergeCell ref="G123:G124"/>
    <mergeCell ref="A132:A133"/>
    <mergeCell ref="B132:B133"/>
    <mergeCell ref="D132:D133"/>
    <mergeCell ref="E132:E133"/>
    <mergeCell ref="F132:F133"/>
    <mergeCell ref="G132:G133"/>
    <mergeCell ref="A130:A131"/>
    <mergeCell ref="B130:B131"/>
    <mergeCell ref="D130:D131"/>
    <mergeCell ref="E130:E131"/>
    <mergeCell ref="F130:F131"/>
    <mergeCell ref="G130:G131"/>
    <mergeCell ref="G136:G137"/>
    <mergeCell ref="A138:A139"/>
    <mergeCell ref="D138:D139"/>
    <mergeCell ref="E138:E139"/>
    <mergeCell ref="F138:F139"/>
    <mergeCell ref="G138:G139"/>
    <mergeCell ref="A134:A135"/>
    <mergeCell ref="D134:D135"/>
    <mergeCell ref="E134:E135"/>
    <mergeCell ref="F134:F135"/>
    <mergeCell ref="G134:G135"/>
    <mergeCell ref="A136:A137"/>
    <mergeCell ref="B136:B137"/>
    <mergeCell ref="D136:D137"/>
    <mergeCell ref="E136:E137"/>
    <mergeCell ref="F136:F137"/>
    <mergeCell ref="A142:A143"/>
    <mergeCell ref="B142:B143"/>
    <mergeCell ref="D142:D143"/>
    <mergeCell ref="E142:E143"/>
    <mergeCell ref="F142:F143"/>
    <mergeCell ref="G142:G143"/>
    <mergeCell ref="A140:A141"/>
    <mergeCell ref="B140:B141"/>
    <mergeCell ref="D140:D141"/>
    <mergeCell ref="E140:E141"/>
    <mergeCell ref="F140:F141"/>
    <mergeCell ref="G140:G141"/>
    <mergeCell ref="A146:A147"/>
    <mergeCell ref="B146:B147"/>
    <mergeCell ref="D146:D147"/>
    <mergeCell ref="E146:E147"/>
    <mergeCell ref="F146:F147"/>
    <mergeCell ref="G146:G147"/>
    <mergeCell ref="A144:A145"/>
    <mergeCell ref="B144:B145"/>
    <mergeCell ref="D144:D145"/>
    <mergeCell ref="E144:E145"/>
    <mergeCell ref="F144:F145"/>
    <mergeCell ref="G144:G145"/>
    <mergeCell ref="A150:A151"/>
    <mergeCell ref="D150:D151"/>
    <mergeCell ref="E150:E151"/>
    <mergeCell ref="F150:F151"/>
    <mergeCell ref="G150:G151"/>
    <mergeCell ref="A155:A156"/>
    <mergeCell ref="D155:D156"/>
    <mergeCell ref="E155:E156"/>
    <mergeCell ref="F155:F156"/>
    <mergeCell ref="G155:G156"/>
    <mergeCell ref="G159:G160"/>
    <mergeCell ref="A161:A162"/>
    <mergeCell ref="B161:B162"/>
    <mergeCell ref="D161:D162"/>
    <mergeCell ref="E161:E162"/>
    <mergeCell ref="F161:F162"/>
    <mergeCell ref="G161:G162"/>
    <mergeCell ref="A157:A158"/>
    <mergeCell ref="D157:D158"/>
    <mergeCell ref="E157:E158"/>
    <mergeCell ref="F157:F158"/>
    <mergeCell ref="G157:G158"/>
    <mergeCell ref="A159:A160"/>
    <mergeCell ref="B159:B160"/>
    <mergeCell ref="D159:D160"/>
    <mergeCell ref="E159:E160"/>
    <mergeCell ref="F159:F160"/>
    <mergeCell ref="G168:G169"/>
    <mergeCell ref="A170:A171"/>
    <mergeCell ref="B170:B171"/>
    <mergeCell ref="D170:D171"/>
    <mergeCell ref="E170:E171"/>
    <mergeCell ref="F170:F171"/>
    <mergeCell ref="G170:G171"/>
    <mergeCell ref="A163:E163"/>
    <mergeCell ref="A168:A169"/>
    <mergeCell ref="B168:B169"/>
    <mergeCell ref="D168:D169"/>
    <mergeCell ref="E168:E169"/>
    <mergeCell ref="F168:F169"/>
    <mergeCell ref="A174:A175"/>
    <mergeCell ref="B174:B175"/>
    <mergeCell ref="D174:D175"/>
    <mergeCell ref="E174:E175"/>
    <mergeCell ref="F174:F175"/>
    <mergeCell ref="G174:G175"/>
    <mergeCell ref="A172:A173"/>
    <mergeCell ref="B172:B173"/>
    <mergeCell ref="D172:D173"/>
    <mergeCell ref="E172:E173"/>
    <mergeCell ref="F172:F173"/>
    <mergeCell ref="G172:G173"/>
    <mergeCell ref="A178:A179"/>
    <mergeCell ref="B178:B179"/>
    <mergeCell ref="D178:D179"/>
    <mergeCell ref="E178:E179"/>
    <mergeCell ref="F178:F179"/>
    <mergeCell ref="G178:G179"/>
    <mergeCell ref="A176:A177"/>
    <mergeCell ref="B176:B177"/>
    <mergeCell ref="D176:D177"/>
    <mergeCell ref="E176:E177"/>
    <mergeCell ref="F176:F177"/>
    <mergeCell ref="G176:G177"/>
    <mergeCell ref="A182:A183"/>
    <mergeCell ref="B182:B183"/>
    <mergeCell ref="D182:D183"/>
    <mergeCell ref="E182:E183"/>
    <mergeCell ref="F182:F183"/>
    <mergeCell ref="G182:G183"/>
    <mergeCell ref="A180:A181"/>
    <mergeCell ref="B180:B181"/>
    <mergeCell ref="D180:D181"/>
    <mergeCell ref="E180:E181"/>
    <mergeCell ref="F180:F181"/>
    <mergeCell ref="G180:G181"/>
    <mergeCell ref="A186:A187"/>
    <mergeCell ref="B186:B187"/>
    <mergeCell ref="D186:D187"/>
    <mergeCell ref="E186:E187"/>
    <mergeCell ref="F186:F187"/>
    <mergeCell ref="G186:G187"/>
    <mergeCell ref="A184:A185"/>
    <mergeCell ref="B184:B185"/>
    <mergeCell ref="D184:D185"/>
    <mergeCell ref="E184:E185"/>
    <mergeCell ref="F184:F185"/>
    <mergeCell ref="G184:G185"/>
    <mergeCell ref="A190:A191"/>
    <mergeCell ref="B190:B191"/>
    <mergeCell ref="D190:D191"/>
    <mergeCell ref="E190:E191"/>
    <mergeCell ref="F190:F191"/>
    <mergeCell ref="G190:G191"/>
    <mergeCell ref="A188:A189"/>
    <mergeCell ref="B188:B189"/>
    <mergeCell ref="D188:D189"/>
    <mergeCell ref="E188:E189"/>
    <mergeCell ref="F188:F189"/>
    <mergeCell ref="G188:G189"/>
    <mergeCell ref="A194:A195"/>
    <mergeCell ref="B194:B195"/>
    <mergeCell ref="D194:D195"/>
    <mergeCell ref="E194:E195"/>
    <mergeCell ref="F194:F195"/>
    <mergeCell ref="G194:G195"/>
    <mergeCell ref="A192:A193"/>
    <mergeCell ref="B192:B193"/>
    <mergeCell ref="D192:D193"/>
    <mergeCell ref="E192:E193"/>
    <mergeCell ref="F192:F193"/>
    <mergeCell ref="G192:G193"/>
    <mergeCell ref="A198:A199"/>
    <mergeCell ref="B198:B199"/>
    <mergeCell ref="D198:D199"/>
    <mergeCell ref="E198:E199"/>
    <mergeCell ref="F198:F199"/>
    <mergeCell ref="G198:G199"/>
    <mergeCell ref="A196:A197"/>
    <mergeCell ref="B196:B197"/>
    <mergeCell ref="D196:D197"/>
    <mergeCell ref="E196:E197"/>
    <mergeCell ref="F196:F197"/>
    <mergeCell ref="G196:G197"/>
    <mergeCell ref="A204:E204"/>
    <mergeCell ref="A202:A203"/>
    <mergeCell ref="B202:B203"/>
    <mergeCell ref="D202:D203"/>
    <mergeCell ref="E202:E203"/>
    <mergeCell ref="F202:F203"/>
    <mergeCell ref="G202:G203"/>
    <mergeCell ref="A200:A201"/>
    <mergeCell ref="B200:B201"/>
    <mergeCell ref="D200:D201"/>
    <mergeCell ref="E200:E201"/>
    <mergeCell ref="F200:F201"/>
    <mergeCell ref="G200:G2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Квалификация</vt:lpstr>
      <vt:lpstr>Лист1</vt:lpstr>
      <vt:lpstr>Квалификация!Область_печати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user21</dc:creator>
  <cp:lastModifiedBy>Анастасия Козлова</cp:lastModifiedBy>
  <cp:lastPrinted>2024-02-29T11:12:25Z</cp:lastPrinted>
  <dcterms:created xsi:type="dcterms:W3CDTF">2020-04-22T13:26:35Z</dcterms:created>
  <dcterms:modified xsi:type="dcterms:W3CDTF">2025-02-26T11:23:15Z</dcterms:modified>
</cp:coreProperties>
</file>