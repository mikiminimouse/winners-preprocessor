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2075"/>
  </bookViews>
  <sheets>
    <sheet name="Лист1" sheetId="1" r:id="rId1"/>
  </sheets>
  <calcPr calcId="145621"/>
</workbook>
</file>

<file path=xl/calcChain.xml><?xml version="1.0" encoding="utf-8"?>
<calcChain xmlns="http://schemas.openxmlformats.org/spreadsheetml/2006/main">
  <c r="D4" i="1" l="1"/>
  <c r="C16" i="1" l="1"/>
  <c r="C19" i="1"/>
  <c r="G17" i="1" l="1"/>
  <c r="G14" i="1"/>
  <c r="B5" i="1"/>
  <c r="H14" i="1" l="1"/>
  <c r="H17" i="1"/>
  <c r="D3" i="1" l="1"/>
  <c r="D5" i="1" s="1"/>
</calcChain>
</file>

<file path=xl/sharedStrings.xml><?xml version="1.0" encoding="utf-8"?>
<sst xmlns="http://schemas.openxmlformats.org/spreadsheetml/2006/main" count="21" uniqueCount="15">
  <si>
    <t>Наименование товара</t>
  </si>
  <si>
    <t>Кол-во</t>
  </si>
  <si>
    <t>Стоимость, руб.</t>
  </si>
  <si>
    <t>Цена за ед., руб.</t>
  </si>
  <si>
    <t>Расчёт Н(М)ЦД закупки</t>
  </si>
  <si>
    <t>Предложение Участника</t>
  </si>
  <si>
    <t>Стоимость предмета закупки, руб</t>
  </si>
  <si>
    <t>Номер заявки Участника</t>
  </si>
  <si>
    <t>Кол-во Товара, кг</t>
  </si>
  <si>
    <t>Расчёт стоимость предмета закупки для оценки заявок Участников в соответствии с п. 6.2. Документации о закупке</t>
  </si>
  <si>
    <t>итого</t>
  </si>
  <si>
    <t>Расчётная стоимость доставки за 1 кг, руб.</t>
  </si>
  <si>
    <t>Расчётная стоимость доставки, итого, руб.</t>
  </si>
  <si>
    <t>Тушка ЦБ</t>
  </si>
  <si>
    <t>Свинина б/к окорок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</si>
</sst>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1" xfId="0" applyFont="1" applyBorder="1" applyAlignment="1">
      <alignment horizontal="center" vertical="center" wrapText="1" shrinkToFit="1"/>
    </xf>
    <xf numFmtId="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 vertical="center"/>
    </xf>
    <xf numFmtId="4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/>
    <xf numFmtId="0" fontId="1" fillId="0" borderId="2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0" borderId="3" xfId="0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/>
    <xf numFmtId="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/>
    <xf numFmtId="4" fontId="3" fillId="0" borderId="1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4" fontId="1" fillId="0" borderId="6" xfId="0" applyNumberFormat="1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center" vertical="center"/>
    </xf>
    <xf numFmtId="4" fontId="3" fillId="0" borderId="6" xfId="0" applyNumberFormat="1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" fontId="3" fillId="0" borderId="8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D24" sqref="D24"/>
    </sheetView>
  </sheetViews>
  <sheetFormatPr defaultRowHeight="15" x14ac:dyDescent="0.25"/>
  <cols>
    <col min="1" max="1" width="24" customWidth="1"/>
    <col min="3" max="3" width="15.140625" bestFit="1" customWidth="1"/>
    <col min="4" max="4" width="12.42578125" bestFit="1" customWidth="1"/>
    <col min="5" max="5" width="11.7109375" customWidth="1"/>
    <col min="6" max="6" width="12.85546875" customWidth="1"/>
    <col min="7" max="7" width="11.42578125" bestFit="1" customWidth="1"/>
    <col min="8" max="8" width="28.5703125" bestFit="1" customWidth="1"/>
    <col min="9" max="9" width="12.42578125" bestFit="1" customWidth="1"/>
  </cols>
  <sheetData>
    <row r="1" spans="1:8" x14ac:dyDescent="0.25">
      <c r="A1" s="1" t="s">
        <v>4</v>
      </c>
      <c r="B1" s="1"/>
      <c r="C1" s="1"/>
      <c r="D1" s="1"/>
      <c r="E1" s="1"/>
      <c r="F1" s="1"/>
      <c r="G1" s="1"/>
    </row>
    <row r="2" spans="1:8" ht="25.5" x14ac:dyDescent="0.25">
      <c r="A2" s="6" t="s">
        <v>0</v>
      </c>
      <c r="B2" s="6" t="s">
        <v>1</v>
      </c>
      <c r="C2" s="4" t="s">
        <v>3</v>
      </c>
      <c r="D2" s="4" t="s">
        <v>2</v>
      </c>
      <c r="E2" s="1"/>
      <c r="F2" s="1"/>
      <c r="G2" s="1"/>
    </row>
    <row r="3" spans="1:8" x14ac:dyDescent="0.25">
      <c r="A3" s="42" t="s">
        <v>13</v>
      </c>
      <c r="B3" s="12">
        <v>5000</v>
      </c>
      <c r="C3" s="14">
        <v>240</v>
      </c>
      <c r="D3" s="5">
        <f t="shared" ref="D3:D4" si="0">B3*C3</f>
        <v>1200000</v>
      </c>
      <c r="E3" s="1"/>
      <c r="F3" s="1"/>
      <c r="G3" s="1"/>
    </row>
    <row r="4" spans="1:8" x14ac:dyDescent="0.25">
      <c r="A4" s="13" t="s">
        <v>14</v>
      </c>
      <c r="B4" s="12">
        <v>15000</v>
      </c>
      <c r="C4" s="14">
        <v>310</v>
      </c>
      <c r="D4" s="11">
        <f t="shared" si="0"/>
        <v>4650000</v>
      </c>
      <c r="E4" s="1"/>
      <c r="F4" s="1"/>
      <c r="G4" s="1"/>
    </row>
    <row r="5" spans="1:8" x14ac:dyDescent="0.25">
      <c r="A5" s="8"/>
      <c r="B5" s="7">
        <f>SUM(B3:B4)</f>
        <v>20000</v>
      </c>
      <c r="C5" s="5"/>
      <c r="D5" s="5">
        <f>SUM(D3:D4)</f>
        <v>5850000</v>
      </c>
      <c r="E5" s="1"/>
      <c r="F5" s="1"/>
      <c r="G5" s="1"/>
    </row>
    <row r="6" spans="1:8" x14ac:dyDescent="0.25">
      <c r="A6" s="1"/>
      <c r="B6" s="1"/>
      <c r="C6" s="2"/>
      <c r="D6" s="2"/>
      <c r="E6" s="1"/>
      <c r="F6" s="1"/>
      <c r="G6" s="1"/>
    </row>
    <row r="7" spans="1:8" x14ac:dyDescent="0.25">
      <c r="A7" s="1"/>
      <c r="B7" s="1"/>
      <c r="C7" s="2"/>
      <c r="D7" s="2"/>
      <c r="E7" s="1"/>
      <c r="F7" s="1"/>
      <c r="G7" s="1"/>
    </row>
    <row r="8" spans="1:8" x14ac:dyDescent="0.25">
      <c r="A8" s="1"/>
      <c r="B8" s="3"/>
      <c r="C8" s="2"/>
      <c r="D8" s="2"/>
      <c r="E8" s="1"/>
      <c r="F8" s="1"/>
      <c r="G8" s="1"/>
    </row>
    <row r="9" spans="1:8" x14ac:dyDescent="0.25">
      <c r="A9" s="1"/>
      <c r="B9" s="1"/>
      <c r="C9" s="1"/>
      <c r="D9" s="1"/>
      <c r="E9" s="1"/>
      <c r="F9" s="1"/>
      <c r="G9" s="1"/>
    </row>
    <row r="10" spans="1:8" x14ac:dyDescent="0.25">
      <c r="A10" s="15" t="s">
        <v>9</v>
      </c>
      <c r="B10" s="15"/>
      <c r="C10" s="15"/>
      <c r="D10" s="15"/>
      <c r="E10" s="15"/>
      <c r="F10" s="15"/>
      <c r="G10" s="15"/>
      <c r="H10" s="15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ht="15" customHeight="1" x14ac:dyDescent="0.25">
      <c r="A12" s="18" t="s">
        <v>7</v>
      </c>
      <c r="B12" s="21"/>
      <c r="C12" s="19" t="s">
        <v>8</v>
      </c>
      <c r="D12" s="16" t="s">
        <v>5</v>
      </c>
      <c r="E12" s="17"/>
      <c r="F12" s="18" t="s">
        <v>11</v>
      </c>
      <c r="G12" s="18" t="s">
        <v>12</v>
      </c>
      <c r="H12" s="18" t="s">
        <v>6</v>
      </c>
    </row>
    <row r="13" spans="1:8" ht="40.5" customHeight="1" x14ac:dyDescent="0.25">
      <c r="A13" s="21"/>
      <c r="B13" s="21"/>
      <c r="C13" s="20"/>
      <c r="D13" s="16" t="s">
        <v>2</v>
      </c>
      <c r="E13" s="22"/>
      <c r="F13" s="18"/>
      <c r="G13" s="18"/>
      <c r="H13" s="18"/>
    </row>
    <row r="14" spans="1:8" x14ac:dyDescent="0.25">
      <c r="A14" s="42" t="s">
        <v>13</v>
      </c>
      <c r="B14" s="23">
        <v>4323</v>
      </c>
      <c r="C14" s="12">
        <v>5000</v>
      </c>
      <c r="D14" s="36">
        <v>5670000</v>
      </c>
      <c r="E14" s="37"/>
      <c r="F14" s="27">
        <v>20</v>
      </c>
      <c r="G14" s="27">
        <f>F14*C16</f>
        <v>400000</v>
      </c>
      <c r="H14" s="29">
        <f>G14+D14</f>
        <v>6070000</v>
      </c>
    </row>
    <row r="15" spans="1:8" x14ac:dyDescent="0.25">
      <c r="A15" s="13" t="s">
        <v>14</v>
      </c>
      <c r="B15" s="24"/>
      <c r="C15" s="12">
        <v>15000</v>
      </c>
      <c r="D15" s="38"/>
      <c r="E15" s="39"/>
      <c r="F15" s="27"/>
      <c r="G15" s="27"/>
      <c r="H15" s="29"/>
    </row>
    <row r="16" spans="1:8" x14ac:dyDescent="0.25">
      <c r="A16" s="10" t="s">
        <v>10</v>
      </c>
      <c r="B16" s="25"/>
      <c r="C16" s="9">
        <f>SUM(C14:C15)</f>
        <v>20000</v>
      </c>
      <c r="D16" s="40"/>
      <c r="E16" s="41"/>
      <c r="F16" s="28"/>
      <c r="G16" s="28"/>
      <c r="H16" s="28"/>
    </row>
    <row r="17" spans="1:8" x14ac:dyDescent="0.25">
      <c r="A17" s="42" t="s">
        <v>13</v>
      </c>
      <c r="B17" s="23">
        <v>5237</v>
      </c>
      <c r="C17" s="12">
        <v>5000</v>
      </c>
      <c r="D17" s="36">
        <v>5450000</v>
      </c>
      <c r="E17" s="37"/>
      <c r="F17" s="30">
        <v>20</v>
      </c>
      <c r="G17" s="32">
        <f>F17*C19</f>
        <v>400000</v>
      </c>
      <c r="H17" s="34">
        <f>G17+D17</f>
        <v>5850000</v>
      </c>
    </row>
    <row r="18" spans="1:8" x14ac:dyDescent="0.25">
      <c r="A18" s="13" t="s">
        <v>14</v>
      </c>
      <c r="B18" s="24"/>
      <c r="C18" s="12">
        <v>15000</v>
      </c>
      <c r="D18" s="38"/>
      <c r="E18" s="39"/>
      <c r="F18" s="31"/>
      <c r="G18" s="33"/>
      <c r="H18" s="35"/>
    </row>
    <row r="19" spans="1:8" x14ac:dyDescent="0.25">
      <c r="A19" s="10" t="s">
        <v>10</v>
      </c>
      <c r="B19" s="26"/>
      <c r="C19" s="9">
        <f>SUM(C17:C18)</f>
        <v>20000</v>
      </c>
      <c r="D19" s="40"/>
      <c r="E19" s="41"/>
      <c r="F19" s="25"/>
      <c r="G19" s="25"/>
      <c r="H19" s="26"/>
    </row>
    <row r="20" spans="1:8" x14ac:dyDescent="0.25">
      <c r="A20" s="1"/>
      <c r="B20" s="1"/>
      <c r="C20" s="1"/>
      <c r="D20" s="1"/>
      <c r="E20" s="1"/>
      <c r="F20" s="1"/>
      <c r="G20" s="1"/>
    </row>
    <row r="21" spans="1:8" x14ac:dyDescent="0.25">
      <c r="A21" s="1"/>
      <c r="B21" s="1"/>
      <c r="C21" s="1"/>
      <c r="D21" s="1"/>
      <c r="E21" s="1"/>
      <c r="F21" s="1"/>
      <c r="G21" s="1"/>
    </row>
    <row r="22" spans="1:8" x14ac:dyDescent="0.25">
      <c r="A22" s="1"/>
      <c r="B22" s="1"/>
      <c r="C22" s="1"/>
      <c r="D22" s="1"/>
      <c r="E22" s="1"/>
      <c r="F22" s="1"/>
      <c r="G22" s="1"/>
    </row>
    <row r="23" spans="1:8" x14ac:dyDescent="0.25">
      <c r="A23" s="1"/>
      <c r="B23" s="1"/>
      <c r="C23" s="1"/>
      <c r="D23" s="1"/>
      <c r="E23" s="1"/>
      <c r="F23" s="1"/>
      <c r="G23" s="1"/>
    </row>
    <row r="24" spans="1:8" x14ac:dyDescent="0.25">
      <c r="A24" s="1"/>
      <c r="B24" s="1"/>
      <c r="C24" s="1"/>
      <c r="D24" s="1"/>
      <c r="E24" s="1"/>
      <c r="F24" s="1"/>
      <c r="G24" s="1"/>
    </row>
    <row r="25" spans="1:8" x14ac:dyDescent="0.25">
      <c r="A25" s="1"/>
      <c r="B25" s="1"/>
      <c r="C25" s="1"/>
      <c r="D25" s="1"/>
      <c r="E25" s="1"/>
      <c r="F25" s="1"/>
      <c r="G25" s="1"/>
    </row>
    <row r="26" spans="1:8" x14ac:dyDescent="0.25">
      <c r="A26" s="1"/>
      <c r="B26" s="1"/>
      <c r="C26" s="1"/>
      <c r="D26" s="1"/>
      <c r="E26" s="1"/>
      <c r="F26" s="1"/>
      <c r="G26" s="1"/>
    </row>
    <row r="27" spans="1:8" x14ac:dyDescent="0.25">
      <c r="A27" s="1"/>
      <c r="B27" s="1"/>
      <c r="C27" s="1"/>
      <c r="D27" s="1"/>
      <c r="E27" s="1"/>
      <c r="F27" s="1"/>
      <c r="G27" s="1"/>
    </row>
    <row r="28" spans="1:8" x14ac:dyDescent="0.25">
      <c r="A28" s="1"/>
      <c r="B28" s="1"/>
      <c r="C28" s="1"/>
      <c r="D28" s="1"/>
      <c r="E28" s="1"/>
      <c r="F28" s="1"/>
      <c r="G28" s="1"/>
    </row>
    <row r="29" spans="1:8" x14ac:dyDescent="0.25">
      <c r="A29" s="1"/>
      <c r="B29" s="1"/>
      <c r="C29" s="1"/>
      <c r="D29" s="1"/>
      <c r="E29" s="1"/>
      <c r="F29" s="1"/>
      <c r="G29" s="1"/>
    </row>
  </sheetData>
  <mergeCells count="18">
    <mergeCell ref="B14:B16"/>
    <mergeCell ref="B17:B19"/>
    <mergeCell ref="F14:F16"/>
    <mergeCell ref="G14:G16"/>
    <mergeCell ref="H14:H16"/>
    <mergeCell ref="F17:F19"/>
    <mergeCell ref="G17:G19"/>
    <mergeCell ref="H17:H19"/>
    <mergeCell ref="D14:E16"/>
    <mergeCell ref="D17:E19"/>
    <mergeCell ref="A10:H10"/>
    <mergeCell ref="D12:E12"/>
    <mergeCell ref="F12:F13"/>
    <mergeCell ref="G12:G13"/>
    <mergeCell ref="H12:H13"/>
    <mergeCell ref="C12:C13"/>
    <mergeCell ref="A12:B13"/>
    <mergeCell ref="D13:E1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Киреева МН</dc:creator>
  <cp:lastModifiedBy>Киреева МН</cp:lastModifiedBy>
  <cp:lastPrinted>2024-01-18T06:24:50Z</cp:lastPrinted>
  <dcterms:created xsi:type="dcterms:W3CDTF">2020-12-18T10:01:24Z</dcterms:created>
  <dcterms:modified xsi:type="dcterms:W3CDTF">2025-03-03T08:09:17Z</dcterms:modified>
</cp:coreProperties>
</file>