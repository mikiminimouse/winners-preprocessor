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Для подписания" sheetId="1" r:id="rId1"/>
  </sheets>
  <definedNames>
    <definedName name="_xlnm.Print_Area" localSheetId="0">'Для подписания'!$A$1:$J$24</definedName>
  </definedNames>
  <calcPr calcId="14562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4" i="1" l="1"/>
  <c r="G14" i="1"/>
  <c r="F14" i="1"/>
  <c r="I13" i="1"/>
  <c r="I14" i="1" s="1"/>
  <c r="K7" i="1"/>
</calcChain>
</file>

<file path=xl/sharedStrings.xml><?xml version="1.0" encoding="utf-8"?>
<sst xmlns="http://schemas.openxmlformats.org/spreadsheetml/2006/main" count="55" uniqueCount="51">
  <si>
    <t xml:space="preserve">конкурс </t>
  </si>
  <si>
    <t>Обоснование начальной (максимальной) цены договора расчетным методом</t>
  </si>
  <si>
    <t>конкурс в электронной форме</t>
  </si>
  <si>
    <t>закрытый конкурс</t>
  </si>
  <si>
    <t xml:space="preserve">
Оказание услуг по техническому обслуживанию комплекса технических средств охраны на объектах Минераловодского Центра ОВД филиала «Аэронавигация Юга» ФГУП «Госкорпорация по ОрВД»
</t>
  </si>
  <si>
    <t>аукцион в электронной форме</t>
  </si>
  <si>
    <t>(предмет договора)</t>
  </si>
  <si>
    <t>не превышать 1000</t>
  </si>
  <si>
    <t>закрытый аукцион</t>
  </si>
  <si>
    <t>Основные характеристики предмета закупки:</t>
  </si>
  <si>
    <t>Описание предмета закупки:</t>
  </si>
  <si>
    <t>Закупка осуществляется в целях оказания услуг по техническому обслуживанию комплекса технических средств охраны на объектах Минераловодского Центра ОВД и предусматривает:
- ежемесячное проведение плановых регламентных услуг в объеме выбранного Регламента;
- восстановление работоспособности «Комплекса» в случае его отказа в работе (при невозможности включения Комплекса в режим охраны «Объекта», периодических «ложных» сигналов «Тревога», а также сбоев в работе программного обеспечения приборов приёмно-контрольных (далее - ППК), путём замены вышедших из рабочего состояния устройств  на исправные из обменного фонда «Исполнителя»;
- принятие мер и (или) выдача рекомендаций по устранению причин образования «ложных» сигналов «Тревога»;
- оказание консультативных услуг «Заказчику» по вопросам эксплуатации Комплекса;
- круглосуточный прием по телефону сообщений от «Заказчика», либо от его уполномоченных лиц о неисправностях оборудования, установленного на «Объекте».
Срок поставки товара (оказания услуг, выполнения работ) — с 01.01.2026 по 31.12.2026.
Подписание исполнительных документов осуществляется по адресу: 357205, Ставропольский край, г. Минеральные Воды-5, аэропорт.</t>
  </si>
  <si>
    <t>запрос котировок</t>
  </si>
  <si>
    <t>Планируемый срок исполнения договора: (месяц, год)</t>
  </si>
  <si>
    <t>запрос котировок в электронной форме</t>
  </si>
  <si>
    <t>Способ определения поставщика (исполнителя, подрядчика):</t>
  </si>
  <si>
    <t>Закупка у единственного поставщика (исполнителя, подрядчика)</t>
  </si>
  <si>
    <t>закрытый запрос котировок</t>
  </si>
  <si>
    <t>Используемый метод определения НМЦД с обоснованием:</t>
  </si>
  <si>
    <t>Расчетный метод</t>
  </si>
  <si>
    <t>запрос предложений</t>
  </si>
  <si>
    <r>
      <rPr>
        <sz val="13"/>
        <color rgb="FF000000"/>
        <rFont val="Times New Roman"/>
        <family val="1"/>
        <charset val="1"/>
      </rPr>
      <t xml:space="preserve">Расчетный метод применяется при отсутствии необходимого количества поставщиков на рынке. 
При этом НМЦД определяется на основании имеющейся ценовой информации.
</t>
    </r>
    <r>
      <rPr>
        <sz val="13"/>
        <rFont val="Times New Roman"/>
        <family val="1"/>
        <charset val="1"/>
      </rPr>
      <t>Применение методов для обоснования и определения начальной (максимальной) цены договора не представляется возможным по следующим причинам:</t>
    </r>
    <r>
      <rPr>
        <sz val="12"/>
        <rFont val="Times New Roman"/>
        <family val="1"/>
        <charset val="1"/>
      </rPr>
      <t xml:space="preserve">                                - метод сопоставимых рыночных цен (анализ рынка): проанализирован рынок данного вида товара (услуг). По результатам анализа реестра заключенных договоров выявлено отсутствие информации об исполненных договорах, предмет и условие которых соответствуют предмету и условиям данной закупки, открытых источниках ценовой информации, отсутствие аналогов, отвечающих условиям данной закупки. Направлен адресный запрос на предоставление ценовой информации № МВЦ/232-зци от 13.11.2025. В указанный срок поступило ценовое предложение вх.</t>
    </r>
    <r>
      <rPr>
        <sz val="12"/>
        <color rgb="FF000000"/>
        <rFont val="Times New Roman"/>
        <family val="1"/>
        <charset val="1"/>
      </rPr>
      <t xml:space="preserve"> № 1209 от 17.11.2025 </t>
    </r>
    <r>
      <rPr>
        <sz val="12"/>
        <rFont val="Times New Roman"/>
        <family val="1"/>
        <charset val="1"/>
      </rPr>
      <t xml:space="preserve">, отвечающее всем условиям закупки. Общедоступная ценовая информация не найдена;
- тарифный метод не применим по причине того, что цены на необходимые услуги не подлежат государственному регулированию и не устанавливается муниципальными правовыми актами;
- проектно-сметный метод применить невозможно в связи с несоответствием закупаемой услуги критериям, при которых применяется проектно-сметный метод (строительство, реконструкцию, капитальный ремонт объекта капитального строительства, проведение работ по сохранению объектов культурного наследия);
- затратный метод не применим по причине того, что потенциальный Исполнитель не раскрывает производственных затрат и предлагает фиксированную цену на основании утвержденного Прейскуранта цен. Расчетный метод применяется при отсутствии необходимого количества поставщиков на рынке.
Закупка осуществляется у единственного поставщика (исполнителя, подрядчика) на основании п. 31 ч. 2 ст. 17 Положения о закупке товаров, работ, услуг ФГУП «Госкорпорация по ОрВД». Проведение конкурентной процедуры закупки нецелесообразно в связи с тем, что в соответствии с п.23 Приложения № 1 «Перечень объектов, на которые частная охранная деятельность не распространяется» к Постановлению Правительства Российской Федерации от 14 августа 1992 г. № 587 «Вопросы частной детективной (сыскной) и частной охранной деятельности», аэропорты и объекты их инфраструктуры не могут охраняться частными охранными организациями. </t>
    </r>
  </si>
  <si>
    <t>запрос предложений в электронной форме</t>
  </si>
  <si>
    <t>Расчёт НМЦД</t>
  </si>
  <si>
    <t>№ п/п</t>
  </si>
  <si>
    <t>Наименование товара, работы услуги</t>
  </si>
  <si>
    <t>Единица измерения</t>
  </si>
  <si>
    <t>Количество (объем) закупаемого товара (работы, услуги)</t>
  </si>
  <si>
    <t>Цена единицы товара (работы, услуги)</t>
  </si>
  <si>
    <t>Приведена в соответствии с лимитом</t>
  </si>
  <si>
    <t>Начальная (максимальная) цена договора</t>
  </si>
  <si>
    <t>Комментарий по основанию расчета</t>
  </si>
  <si>
    <t>закрытый запрос предложений</t>
  </si>
  <si>
    <t>Оказание услуг по техническому обслуживанию комплекса технических средств охраны на объектах Минераловодского Центра ОВД филиала «Аэронавигация Юга» ФГУП «Госкорпорация по ОрВД»</t>
  </si>
  <si>
    <t>Месяц</t>
  </si>
  <si>
    <r>
      <rPr>
        <sz val="12"/>
        <rFont val="Times New Roman"/>
        <family val="1"/>
        <charset val="204"/>
      </rPr>
      <t>Расчет НМЦД определен на основании коммерческого предложения вх. № 1209</t>
    </r>
    <r>
      <rPr>
        <sz val="12"/>
        <color rgb="FFFFBF00"/>
        <rFont val="Times New Roman"/>
        <family val="1"/>
        <charset val="204"/>
      </rPr>
      <t xml:space="preserve"> </t>
    </r>
    <r>
      <rPr>
        <sz val="12"/>
        <rFont val="Times New Roman"/>
        <family val="1"/>
        <charset val="204"/>
      </rPr>
      <t>от 17.11.2025  г.</t>
    </r>
  </si>
  <si>
    <t>конкурс в электронной форме, участниками которого могут являться только субъекты малого и среднего предпринимательства</t>
  </si>
  <si>
    <t>Итоговое значение цены:</t>
  </si>
  <si>
    <t>Дата подготовки обоснования НМЦД: "17" ноября 2025 г.</t>
  </si>
  <si>
    <t>Начальная (максимальная) цена договора установлена в размере 108 001 (Сто восемь тысяч один) рубль 08 копеек, включая все налоги и другие обязательные платежи.</t>
  </si>
  <si>
    <t>Директор филиала</t>
  </si>
  <si>
    <t>____________________
подпись</t>
  </si>
  <si>
    <t>Ю.П. Токарев</t>
  </si>
  <si>
    <t>Заместитель директора филиала</t>
  </si>
  <si>
    <t>С.В. Исаев</t>
  </si>
  <si>
    <t>Заместитель директора филиала по безопасности</t>
  </si>
  <si>
    <t>В.А. Попов</t>
  </si>
  <si>
    <t xml:space="preserve">Начальник Минераловодского центра ОВД     </t>
  </si>
  <si>
    <t>Е.А. Дятлов</t>
  </si>
  <si>
    <t>Кононенко Сергей Викторович тел.: 8(87922) 6-63-75</t>
  </si>
  <si>
    <t>"17" ноября 2025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</si>
</sst>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19]mmmm\ yyyy;@"/>
  </numFmts>
  <fonts count="25" x14ac:knownFonts="1">
    <font>
      <sz val="11"/>
      <color theme="1"/>
      <name val="Calibri"/>
      <family val="2"/>
      <charset val="204"/>
    </font>
    <font>
      <sz val="13"/>
      <color theme="1"/>
      <name val="Times New Roman"/>
      <family val="1"/>
      <charset val="204"/>
    </font>
    <font>
      <sz val="13"/>
      <color theme="0" tint="-0.34998626667073579"/>
      <name val="Times New Roman"/>
      <family val="1"/>
      <charset val="204"/>
    </font>
    <font>
      <sz val="13"/>
      <color rgb="FFFF000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b/>
      <sz val="13"/>
      <color theme="0" tint="-0.34998626667073579"/>
      <name val="Times New Roman"/>
      <family val="1"/>
      <charset val="204"/>
    </font>
    <font>
      <vertAlign val="superscript"/>
      <sz val="13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1"/>
    </font>
    <font>
      <sz val="12"/>
      <name val="Times New Roman"/>
      <family val="1"/>
      <charset val="204"/>
    </font>
    <font>
      <sz val="13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sz val="13"/>
      <color rgb="FF000000"/>
      <name val="Times New Roman"/>
      <family val="1"/>
      <charset val="1"/>
    </font>
    <font>
      <sz val="13"/>
      <name val="Times New Roman"/>
      <family val="1"/>
      <charset val="1"/>
    </font>
    <font>
      <sz val="12"/>
      <name val="Times New Roman"/>
      <family val="1"/>
      <charset val="1"/>
    </font>
    <font>
      <sz val="12"/>
      <color theme="1"/>
      <name val="Times New Roman"/>
      <family val="1"/>
      <charset val="204"/>
    </font>
    <font>
      <sz val="12"/>
      <color rgb="FFFFBF00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i/>
      <sz val="12"/>
      <name val="Times New Roman"/>
      <family val="1"/>
      <charset val="204"/>
    </font>
    <font>
      <i/>
      <sz val="13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6" fillId="2" borderId="5" xfId="0" applyFont="1" applyFill="1" applyBorder="1" applyAlignment="1" applyProtection="1">
      <alignment horizontal="center" vertical="center" wrapText="1"/>
    </xf>
    <xf numFmtId="0" fontId="1" fillId="2" borderId="8" xfId="0" applyFont="1" applyFill="1" applyBorder="1" applyAlignment="1" applyProtection="1">
      <alignment horizontal="center" vertical="center" wrapText="1"/>
    </xf>
    <xf numFmtId="0" fontId="13" fillId="0" borderId="11" xfId="0" applyFont="1" applyBorder="1" applyAlignment="1" applyProtection="1">
      <alignment horizontal="left" vertical="top" wrapText="1"/>
    </xf>
    <xf numFmtId="0" fontId="8" fillId="2" borderId="8" xfId="0" applyFont="1" applyFill="1" applyBorder="1" applyAlignment="1" applyProtection="1">
      <alignment horizontal="left" vertical="center" wrapText="1"/>
    </xf>
    <xf numFmtId="0" fontId="11" fillId="2" borderId="7" xfId="0" applyFont="1" applyFill="1" applyBorder="1" applyAlignment="1" applyProtection="1">
      <alignment horizontal="left" vertical="center"/>
    </xf>
    <xf numFmtId="0" fontId="8" fillId="2" borderId="7" xfId="0" applyFont="1" applyFill="1" applyBorder="1" applyAlignment="1" applyProtection="1">
      <alignment horizontal="left" vertical="center" wrapText="1"/>
    </xf>
    <xf numFmtId="164" fontId="10" fillId="2" borderId="4" xfId="0" applyNumberFormat="1" applyFont="1" applyFill="1" applyBorder="1" applyAlignment="1" applyProtection="1">
      <alignment horizontal="left" vertical="center" wrapText="1"/>
    </xf>
    <xf numFmtId="0" fontId="8" fillId="2" borderId="6" xfId="0" applyFont="1" applyFill="1" applyBorder="1" applyAlignment="1" applyProtection="1">
      <alignment horizontal="left" vertical="center" wrapText="1"/>
    </xf>
    <xf numFmtId="0" fontId="9" fillId="2" borderId="5" xfId="0" applyFont="1" applyFill="1" applyBorder="1" applyAlignment="1" applyProtection="1">
      <alignment horizontal="left" vertical="top" wrapText="1"/>
    </xf>
    <xf numFmtId="0" fontId="8" fillId="2" borderId="4" xfId="0" applyFont="1" applyFill="1" applyBorder="1" applyAlignment="1" applyProtection="1">
      <alignment horizontal="left" vertical="center" wrapText="1"/>
    </xf>
    <xf numFmtId="0" fontId="8" fillId="2" borderId="3" xfId="0" applyFont="1" applyFill="1" applyBorder="1" applyAlignment="1" applyProtection="1">
      <alignment horizontal="left" vertical="center" wrapText="1"/>
    </xf>
    <xf numFmtId="0" fontId="7" fillId="2" borderId="2" xfId="0" applyFont="1" applyFill="1" applyBorder="1" applyAlignment="1" applyProtection="1">
      <alignment horizontal="center" vertical="top"/>
    </xf>
    <xf numFmtId="0" fontId="5" fillId="2" borderId="1" xfId="0" applyFont="1" applyFill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center" vertical="center" wrapText="1"/>
    </xf>
    <xf numFmtId="0" fontId="1" fillId="0" borderId="0" xfId="0" applyFont="1" applyAlignment="1" applyProtection="1"/>
    <xf numFmtId="0" fontId="2" fillId="0" borderId="0" xfId="0" applyFont="1" applyAlignment="1" applyProtection="1"/>
    <xf numFmtId="0" fontId="2" fillId="0" borderId="0" xfId="0" applyFont="1" applyAlignment="1" applyProtection="1">
      <alignment vertical="top"/>
    </xf>
    <xf numFmtId="0" fontId="3" fillId="0" borderId="0" xfId="0" applyFont="1" applyAlignment="1" applyProtection="1"/>
    <xf numFmtId="0" fontId="5" fillId="0" borderId="0" xfId="0" applyFont="1" applyAlignment="1" applyProtection="1">
      <alignment horizontal="center" vertical="center" wrapText="1"/>
    </xf>
    <xf numFmtId="0" fontId="6" fillId="2" borderId="0" xfId="0" applyFont="1" applyFill="1" applyBorder="1" applyAlignment="1" applyProtection="1">
      <alignment vertical="center" wrapText="1"/>
    </xf>
    <xf numFmtId="0" fontId="2" fillId="2" borderId="0" xfId="0" applyFont="1" applyFill="1" applyBorder="1" applyAlignment="1" applyProtection="1">
      <alignment vertical="center"/>
    </xf>
    <xf numFmtId="0" fontId="1" fillId="2" borderId="0" xfId="0" applyFont="1" applyFill="1" applyAlignment="1" applyProtection="1"/>
    <xf numFmtId="0" fontId="2" fillId="2" borderId="0" xfId="0" applyFont="1" applyFill="1" applyAlignment="1" applyProtection="1"/>
    <xf numFmtId="0" fontId="8" fillId="2" borderId="9" xfId="0" applyFont="1" applyFill="1" applyBorder="1" applyAlignment="1" applyProtection="1">
      <alignment horizontal="left" vertical="center"/>
    </xf>
    <xf numFmtId="0" fontId="12" fillId="2" borderId="0" xfId="0" applyFont="1" applyFill="1" applyBorder="1" applyAlignment="1" applyProtection="1">
      <alignment horizontal="left" vertical="center" wrapText="1"/>
    </xf>
    <xf numFmtId="0" fontId="12" fillId="2" borderId="0" xfId="0" applyFont="1" applyFill="1" applyBorder="1" applyAlignment="1" applyProtection="1">
      <alignment vertical="center"/>
    </xf>
    <xf numFmtId="0" fontId="12" fillId="2" borderId="0" xfId="0" applyFont="1" applyFill="1" applyBorder="1" applyAlignment="1" applyProtection="1">
      <alignment vertical="center" wrapText="1"/>
    </xf>
    <xf numFmtId="0" fontId="12" fillId="2" borderId="10" xfId="0" applyFont="1" applyFill="1" applyBorder="1" applyAlignment="1" applyProtection="1">
      <alignment vertical="center" wrapText="1"/>
    </xf>
    <xf numFmtId="0" fontId="16" fillId="2" borderId="5" xfId="0" applyFont="1" applyFill="1" applyBorder="1" applyAlignment="1" applyProtection="1">
      <alignment horizontal="center" vertical="center" wrapText="1"/>
    </xf>
    <xf numFmtId="0" fontId="16" fillId="2" borderId="12" xfId="0" applyFont="1" applyFill="1" applyBorder="1" applyAlignment="1" applyProtection="1">
      <alignment horizontal="center" vertical="center" wrapText="1"/>
    </xf>
    <xf numFmtId="4" fontId="16" fillId="2" borderId="12" xfId="0" applyNumberFormat="1" applyFont="1" applyFill="1" applyBorder="1" applyAlignment="1" applyProtection="1">
      <alignment horizontal="center" vertical="center" wrapText="1"/>
    </xf>
    <xf numFmtId="0" fontId="10" fillId="2" borderId="12" xfId="0" applyFont="1" applyFill="1" applyBorder="1" applyAlignment="1" applyProtection="1">
      <alignment horizontal="center" vertical="center" wrapText="1"/>
    </xf>
    <xf numFmtId="0" fontId="18" fillId="2" borderId="10" xfId="0" applyFont="1" applyFill="1" applyBorder="1" applyAlignment="1" applyProtection="1">
      <alignment horizontal="center" vertical="center" wrapText="1"/>
    </xf>
    <xf numFmtId="4" fontId="18" fillId="2" borderId="10" xfId="0" applyNumberFormat="1" applyFont="1" applyFill="1" applyBorder="1" applyAlignment="1" applyProtection="1">
      <alignment horizontal="center" vertical="center" wrapText="1"/>
    </xf>
    <xf numFmtId="0" fontId="3" fillId="2" borderId="1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right" vertical="center" wrapText="1"/>
    </xf>
    <xf numFmtId="2" fontId="1" fillId="2" borderId="0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21" fillId="2" borderId="0" xfId="0" applyFont="1" applyFill="1" applyAlignment="1" applyProtection="1">
      <alignment horizontal="center" wrapText="1"/>
    </xf>
    <xf numFmtId="0" fontId="22" fillId="2" borderId="0" xfId="0" applyFont="1" applyFill="1" applyAlignment="1" applyProtection="1">
      <alignment horizontal="center" vertical="center"/>
    </xf>
    <xf numFmtId="0" fontId="23" fillId="2" borderId="0" xfId="0" applyFont="1" applyFill="1" applyAlignment="1" applyProtection="1">
      <alignment horizontal="center"/>
    </xf>
    <xf numFmtId="0" fontId="23" fillId="2" borderId="0" xfId="0" applyFont="1" applyFill="1" applyAlignment="1" applyProtection="1">
      <alignment horizontal="center" vertical="center"/>
    </xf>
    <xf numFmtId="0" fontId="23" fillId="2" borderId="0" xfId="0" applyFont="1" applyFill="1" applyAlignment="1" applyProtection="1">
      <alignment vertical="center"/>
    </xf>
    <xf numFmtId="0" fontId="21" fillId="2" borderId="0" xfId="0" applyFont="1" applyFill="1" applyAlignment="1" applyProtection="1">
      <alignment wrapText="1"/>
    </xf>
    <xf numFmtId="0" fontId="16" fillId="2" borderId="0" xfId="0" applyFont="1" applyFill="1" applyAlignment="1" applyProtection="1"/>
    <xf numFmtId="0" fontId="12" fillId="2" borderId="0" xfId="0" applyFont="1" applyFill="1" applyAlignment="1" applyProtection="1">
      <alignment horizontal="left"/>
    </xf>
    <xf numFmtId="0" fontId="2" fillId="2" borderId="0" xfId="0" applyFont="1" applyFill="1" applyAlignment="1" applyProtection="1">
      <alignment horizontal="left"/>
    </xf>
    <xf numFmtId="0" fontId="24" fillId="2" borderId="0" xfId="0" applyFont="1" applyFill="1" applyAlignment="1" applyProtection="1">
      <alignment horizontal="left"/>
    </xf>
    <xf numFmtId="0" fontId="2" fillId="0" borderId="0" xfId="0" applyFont="1" applyBorder="1" applyAlignment="1" applyProtection="1">
      <alignment vertical="center" wrapText="1"/>
    </xf>
    <xf numFmtId="0" fontId="18" fillId="2" borderId="5" xfId="0" applyFont="1" applyFill="1" applyBorder="1" applyAlignment="1" applyProtection="1">
      <alignment horizontal="center" vertical="center" wrapText="1"/>
    </xf>
    <xf numFmtId="0" fontId="19" fillId="2" borderId="0" xfId="0" applyFont="1" applyFill="1" applyBorder="1" applyAlignment="1" applyProtection="1">
      <alignment horizontal="center" vertical="center" wrapText="1"/>
    </xf>
    <xf numFmtId="0" fontId="10" fillId="2" borderId="0" xfId="0" applyFont="1" applyFill="1" applyBorder="1" applyAlignment="1" applyProtection="1">
      <alignment horizontal="left" vertical="center" wrapText="1"/>
    </xf>
    <xf numFmtId="0" fontId="20" fillId="2" borderId="0" xfId="0" applyFont="1" applyFill="1" applyBorder="1" applyAlignment="1" applyProtection="1">
      <alignment horizontal="center" wrapText="1"/>
    </xf>
    <xf numFmtId="0" fontId="16" fillId="2" borderId="0" xfId="0" applyFont="1" applyFill="1" applyBorder="1" applyAlignment="1" applyProtection="1">
      <alignment horizontal="center"/>
    </xf>
    <xf numFmtId="0" fontId="12" fillId="2" borderId="0" xfId="0" applyFont="1" applyFill="1" applyBorder="1" applyAlignment="1" applyProtection="1">
      <alignment horizontal="left"/>
    </xf>
    <xf numFmtId="0" fontId="24" fillId="2" borderId="0" xfId="0" applyFont="1" applyFill="1" applyBorder="1" applyAlignment="1" applyProtection="1">
      <alignment horizontal="left"/>
    </xf>
    <xf numFmtId="0" fontId="1" fillId="0" borderId="0" xfId="0" applyFont="1" applyBorder="1" applyAlignment="1" applyProtection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8"/>
  <sheetViews>
    <sheetView tabSelected="1" view="pageBreakPreview" topLeftCell="A19" zoomScale="80" zoomScaleNormal="100" zoomScaleSheetLayoutView="80" zoomScalePageLayoutView="95" workbookViewId="0">
      <selection activeCell="B23" sqref="B23"/>
    </sheetView>
  </sheetViews>
  <sheetFormatPr defaultColWidth="8.7109375" defaultRowHeight="16.5" x14ac:dyDescent="0.25"/>
  <cols>
    <col min="1" max="1" width="7.7109375" style="15" customWidth="1"/>
    <col min="2" max="2" width="19.28515625" style="15" customWidth="1"/>
    <col min="3" max="3" width="4.5703125" style="15" customWidth="1"/>
    <col min="4" max="4" width="28.7109375" style="15" customWidth="1"/>
    <col min="5" max="5" width="14.7109375" style="15" customWidth="1"/>
    <col min="6" max="6" width="21" style="15" customWidth="1"/>
    <col min="7" max="8" width="23.28515625" style="15" customWidth="1"/>
    <col min="9" max="9" width="24.28515625" style="15" customWidth="1"/>
    <col min="10" max="10" width="36" style="15" customWidth="1"/>
    <col min="11" max="13" width="8.7109375" style="16"/>
    <col min="14" max="14" width="2.5703125" style="16" customWidth="1"/>
    <col min="15" max="15" width="8.7109375" style="17"/>
    <col min="16" max="20" width="8.7109375" style="16"/>
    <col min="21" max="16384" width="8.7109375" style="15"/>
  </cols>
  <sheetData>
    <row r="1" spans="1:15" ht="7.5" customHeight="1" x14ac:dyDescent="0.25">
      <c r="D1" s="18"/>
      <c r="E1" s="18"/>
      <c r="F1" s="18"/>
      <c r="G1" s="18"/>
      <c r="H1" s="18"/>
      <c r="I1" s="18"/>
      <c r="J1" s="18"/>
      <c r="O1" s="17" t="s">
        <v>0</v>
      </c>
    </row>
    <row r="2" spans="1:15" ht="26.25" customHeight="1" x14ac:dyDescent="0.25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O2" s="17" t="s">
        <v>2</v>
      </c>
    </row>
    <row r="3" spans="1:15" ht="6" customHeight="1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O3" s="17" t="s">
        <v>3</v>
      </c>
    </row>
    <row r="4" spans="1:15" ht="47.25" customHeight="1" x14ac:dyDescent="0.25">
      <c r="A4" s="13" t="s">
        <v>4</v>
      </c>
      <c r="B4" s="13"/>
      <c r="C4" s="13"/>
      <c r="D4" s="13"/>
      <c r="E4" s="13"/>
      <c r="F4" s="13"/>
      <c r="G4" s="13"/>
      <c r="H4" s="13"/>
      <c r="I4" s="13"/>
      <c r="J4" s="13"/>
      <c r="K4" s="20"/>
      <c r="O4" s="17" t="s">
        <v>5</v>
      </c>
    </row>
    <row r="5" spans="1:15" ht="20.25" customHeight="1" x14ac:dyDescent="0.25">
      <c r="A5" s="12" t="s">
        <v>6</v>
      </c>
      <c r="B5" s="12"/>
      <c r="C5" s="12"/>
      <c r="D5" s="12"/>
      <c r="E5" s="12"/>
      <c r="F5" s="12"/>
      <c r="G5" s="12"/>
      <c r="H5" s="12"/>
      <c r="I5" s="12"/>
      <c r="J5" s="12"/>
      <c r="K5" s="21"/>
      <c r="O5" s="17" t="s">
        <v>5</v>
      </c>
    </row>
    <row r="6" spans="1:15" ht="17.25" customHeight="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3" t="s">
        <v>7</v>
      </c>
      <c r="O6" s="17" t="s">
        <v>8</v>
      </c>
    </row>
    <row r="7" spans="1:15" ht="183.75" customHeight="1" x14ac:dyDescent="0.25">
      <c r="A7" s="11" t="s">
        <v>9</v>
      </c>
      <c r="B7" s="11"/>
      <c r="C7" s="10" t="s">
        <v>10</v>
      </c>
      <c r="D7" s="10"/>
      <c r="E7" s="9" t="s">
        <v>11</v>
      </c>
      <c r="F7" s="9"/>
      <c r="G7" s="9"/>
      <c r="H7" s="9"/>
      <c r="I7" s="9"/>
      <c r="J7" s="9"/>
      <c r="K7" s="23">
        <f>LEN(E7)</f>
        <v>1182</v>
      </c>
      <c r="O7" s="17" t="s">
        <v>12</v>
      </c>
    </row>
    <row r="8" spans="1:15" ht="48.75" customHeight="1" x14ac:dyDescent="0.25">
      <c r="A8" s="11"/>
      <c r="B8" s="11"/>
      <c r="C8" s="8" t="s">
        <v>13</v>
      </c>
      <c r="D8" s="8"/>
      <c r="E8" s="7">
        <v>46388</v>
      </c>
      <c r="F8" s="7"/>
      <c r="G8" s="7"/>
      <c r="H8" s="7"/>
      <c r="I8" s="7"/>
      <c r="J8" s="7"/>
      <c r="K8" s="23"/>
      <c r="O8" s="17" t="s">
        <v>14</v>
      </c>
    </row>
    <row r="9" spans="1:15" ht="57.75" customHeight="1" x14ac:dyDescent="0.25">
      <c r="A9" s="11"/>
      <c r="B9" s="11"/>
      <c r="C9" s="6" t="s">
        <v>15</v>
      </c>
      <c r="D9" s="6"/>
      <c r="E9" s="5" t="s">
        <v>16</v>
      </c>
      <c r="F9" s="5"/>
      <c r="G9" s="5"/>
      <c r="H9" s="5"/>
      <c r="I9" s="5"/>
      <c r="J9" s="5"/>
      <c r="K9" s="23"/>
      <c r="O9" s="17" t="s">
        <v>17</v>
      </c>
    </row>
    <row r="10" spans="1:15" ht="23.25" customHeight="1" x14ac:dyDescent="0.25">
      <c r="A10" s="4" t="s">
        <v>18</v>
      </c>
      <c r="B10" s="4"/>
      <c r="C10" s="24" t="s">
        <v>19</v>
      </c>
      <c r="D10" s="25"/>
      <c r="E10" s="26"/>
      <c r="F10" s="27"/>
      <c r="G10" s="27"/>
      <c r="H10" s="27"/>
      <c r="I10" s="27"/>
      <c r="J10" s="28"/>
      <c r="K10" s="23"/>
      <c r="O10" s="17" t="s">
        <v>20</v>
      </c>
    </row>
    <row r="11" spans="1:15" ht="232.5" customHeight="1" x14ac:dyDescent="0.25">
      <c r="A11" s="4"/>
      <c r="B11" s="4"/>
      <c r="C11" s="3" t="s">
        <v>21</v>
      </c>
      <c r="D11" s="3"/>
      <c r="E11" s="3"/>
      <c r="F11" s="3"/>
      <c r="G11" s="3"/>
      <c r="H11" s="3"/>
      <c r="I11" s="3"/>
      <c r="J11" s="3"/>
      <c r="K11" s="23"/>
      <c r="O11" s="17" t="s">
        <v>22</v>
      </c>
    </row>
    <row r="12" spans="1:15" ht="83.25" customHeight="1" x14ac:dyDescent="0.25">
      <c r="A12" s="2" t="s">
        <v>23</v>
      </c>
      <c r="B12" s="2"/>
      <c r="C12" s="29" t="s">
        <v>24</v>
      </c>
      <c r="D12" s="30" t="s">
        <v>25</v>
      </c>
      <c r="E12" s="30" t="s">
        <v>26</v>
      </c>
      <c r="F12" s="30" t="s">
        <v>27</v>
      </c>
      <c r="G12" s="30" t="s">
        <v>28</v>
      </c>
      <c r="H12" s="30" t="s">
        <v>29</v>
      </c>
      <c r="I12" s="30" t="s">
        <v>30</v>
      </c>
      <c r="J12" s="30" t="s">
        <v>31</v>
      </c>
      <c r="K12" s="23"/>
      <c r="O12" s="17" t="s">
        <v>32</v>
      </c>
    </row>
    <row r="13" spans="1:15" ht="180.75" customHeight="1" x14ac:dyDescent="0.25">
      <c r="A13" s="2"/>
      <c r="B13" s="2"/>
      <c r="C13" s="29">
        <v>1</v>
      </c>
      <c r="D13" s="30" t="s">
        <v>33</v>
      </c>
      <c r="E13" s="30" t="s">
        <v>34</v>
      </c>
      <c r="F13" s="30">
        <v>12</v>
      </c>
      <c r="G13" s="31">
        <v>9000.09</v>
      </c>
      <c r="H13" s="31">
        <v>9000.09</v>
      </c>
      <c r="I13" s="31">
        <f>ROUND(H13*F13,2)</f>
        <v>108001.08</v>
      </c>
      <c r="J13" s="32" t="s">
        <v>35</v>
      </c>
      <c r="K13" s="23"/>
      <c r="O13" s="17" t="s">
        <v>36</v>
      </c>
    </row>
    <row r="14" spans="1:15" ht="20.25" customHeight="1" x14ac:dyDescent="0.25">
      <c r="A14" s="2"/>
      <c r="B14" s="2"/>
      <c r="C14" s="1" t="s">
        <v>37</v>
      </c>
      <c r="D14" s="1"/>
      <c r="E14" s="1"/>
      <c r="F14" s="33">
        <f>SUM(F13)</f>
        <v>12</v>
      </c>
      <c r="G14" s="34">
        <f>SUM(G13)</f>
        <v>9000.09</v>
      </c>
      <c r="H14" s="34">
        <f>SUM(H13)</f>
        <v>9000.09</v>
      </c>
      <c r="I14" s="34">
        <f>SUM(I13)</f>
        <v>108001.08</v>
      </c>
      <c r="J14" s="35"/>
      <c r="K14" s="23"/>
    </row>
    <row r="15" spans="1:15" ht="30" customHeight="1" x14ac:dyDescent="0.25">
      <c r="A15" s="51" t="s">
        <v>38</v>
      </c>
      <c r="B15" s="51"/>
      <c r="C15" s="51"/>
      <c r="D15" s="51"/>
      <c r="E15" s="51"/>
      <c r="F15" s="51"/>
      <c r="G15" s="51"/>
      <c r="H15" s="51"/>
      <c r="I15" s="51"/>
      <c r="J15" s="51"/>
      <c r="K15" s="23"/>
    </row>
    <row r="16" spans="1:15" ht="12.75" customHeight="1" x14ac:dyDescent="0.25">
      <c r="A16" s="36"/>
      <c r="B16" s="36"/>
      <c r="C16" s="37"/>
      <c r="D16" s="37"/>
      <c r="E16" s="37"/>
      <c r="F16" s="38"/>
      <c r="G16" s="38"/>
      <c r="H16" s="38"/>
      <c r="I16" s="38"/>
      <c r="J16" s="39"/>
      <c r="K16" s="23"/>
    </row>
    <row r="17" spans="1:11" ht="33" customHeight="1" x14ac:dyDescent="0.25">
      <c r="A17" s="52" t="s">
        <v>39</v>
      </c>
      <c r="B17" s="52"/>
      <c r="C17" s="52"/>
      <c r="D17" s="52"/>
      <c r="E17" s="52"/>
      <c r="F17" s="52"/>
      <c r="G17" s="52"/>
      <c r="H17" s="52"/>
      <c r="I17" s="52"/>
      <c r="J17" s="52"/>
      <c r="K17" s="23"/>
    </row>
    <row r="18" spans="1:11" ht="160.5" customHeight="1" x14ac:dyDescent="0.25">
      <c r="A18" s="22"/>
      <c r="B18" s="53" t="s">
        <v>40</v>
      </c>
      <c r="C18" s="53"/>
      <c r="D18" s="53"/>
      <c r="E18" s="22"/>
      <c r="F18" s="54" t="s">
        <v>41</v>
      </c>
      <c r="G18" s="54"/>
      <c r="H18" s="40"/>
      <c r="I18" s="41" t="s">
        <v>42</v>
      </c>
      <c r="J18" s="42"/>
      <c r="K18" s="23"/>
    </row>
    <row r="19" spans="1:11" ht="160.5" customHeight="1" x14ac:dyDescent="0.25">
      <c r="A19" s="22"/>
      <c r="B19" s="53" t="s">
        <v>43</v>
      </c>
      <c r="C19" s="53"/>
      <c r="D19" s="53"/>
      <c r="E19" s="22"/>
      <c r="F19" s="54" t="s">
        <v>41</v>
      </c>
      <c r="G19" s="54"/>
      <c r="H19" s="40"/>
      <c r="I19" s="41" t="s">
        <v>44</v>
      </c>
      <c r="J19" s="42"/>
      <c r="K19" s="23"/>
    </row>
    <row r="20" spans="1:11" ht="160.5" customHeight="1" x14ac:dyDescent="0.25">
      <c r="A20" s="22"/>
      <c r="B20" s="53" t="s">
        <v>45</v>
      </c>
      <c r="C20" s="53"/>
      <c r="D20" s="53"/>
      <c r="E20" s="22"/>
      <c r="F20" s="54" t="s">
        <v>41</v>
      </c>
      <c r="G20" s="54"/>
      <c r="H20" s="40"/>
      <c r="I20" s="43" t="s">
        <v>46</v>
      </c>
      <c r="J20" s="44"/>
      <c r="K20" s="23"/>
    </row>
    <row r="21" spans="1:11" ht="160.5" customHeight="1" x14ac:dyDescent="0.25">
      <c r="A21" s="22"/>
      <c r="B21" s="53" t="s">
        <v>47</v>
      </c>
      <c r="C21" s="53"/>
      <c r="D21" s="53"/>
      <c r="E21" s="45"/>
      <c r="F21" s="54" t="s">
        <v>41</v>
      </c>
      <c r="G21" s="54"/>
      <c r="H21" s="45"/>
      <c r="I21" s="41" t="s">
        <v>48</v>
      </c>
      <c r="J21" s="45"/>
      <c r="K21" s="23"/>
    </row>
    <row r="22" spans="1:11" ht="16.5" customHeight="1" x14ac:dyDescent="0.25"/>
    <row r="23" spans="1:11" ht="27.75" customHeight="1" x14ac:dyDescent="0.25">
      <c r="A23" s="22"/>
      <c r="B23" s="46" t="s">
        <v>49</v>
      </c>
      <c r="C23" s="22"/>
      <c r="D23" s="22"/>
      <c r="E23" s="22"/>
      <c r="F23" s="22"/>
      <c r="G23" s="55" t="s">
        <v>50</v>
      </c>
      <c r="H23" s="55"/>
      <c r="I23" s="55"/>
      <c r="J23" s="55"/>
      <c r="K23" s="23"/>
    </row>
    <row r="24" spans="1:11" ht="17.25" customHeight="1" x14ac:dyDescent="0.25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8"/>
    </row>
    <row r="25" spans="1:11" ht="19.5" customHeight="1" x14ac:dyDescent="0.25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23"/>
    </row>
    <row r="26" spans="1:11" ht="12" customHeight="1" x14ac:dyDescent="0.25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23"/>
    </row>
    <row r="27" spans="1:11" ht="30.75" customHeight="1" x14ac:dyDescent="0.25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23"/>
    </row>
    <row r="28" spans="1:11" ht="18" customHeight="1" x14ac:dyDescent="0.25"/>
    <row r="29" spans="1:11" ht="18" customHeight="1" x14ac:dyDescent="0.25"/>
    <row r="30" spans="1:11" ht="18" customHeight="1" x14ac:dyDescent="0.25"/>
    <row r="31" spans="1:11" ht="18" customHeight="1" x14ac:dyDescent="0.25"/>
    <row r="32" spans="1:11" ht="18" customHeight="1" x14ac:dyDescent="0.25"/>
    <row r="33" spans="1:11" ht="34.5" customHeight="1" x14ac:dyDescent="0.25">
      <c r="A33" s="58"/>
      <c r="B33" s="58"/>
    </row>
    <row r="34" spans="1:11" ht="36.75" customHeight="1" x14ac:dyDescent="0.25"/>
    <row r="35" spans="1:11" ht="18" customHeight="1" x14ac:dyDescent="0.25"/>
    <row r="36" spans="1:11" ht="18" customHeight="1" x14ac:dyDescent="0.25"/>
    <row r="37" spans="1:11" ht="18" customHeight="1" x14ac:dyDescent="0.25"/>
    <row r="38" spans="1:11" ht="33" customHeight="1" x14ac:dyDescent="0.25">
      <c r="K38" s="50"/>
    </row>
  </sheetData>
  <mergeCells count="28">
    <mergeCell ref="A25:J25"/>
    <mergeCell ref="A26:J26"/>
    <mergeCell ref="A33:B33"/>
    <mergeCell ref="B20:D20"/>
    <mergeCell ref="F20:G20"/>
    <mergeCell ref="B21:D21"/>
    <mergeCell ref="F21:G21"/>
    <mergeCell ref="G23:J23"/>
    <mergeCell ref="A17:J17"/>
    <mergeCell ref="B18:D18"/>
    <mergeCell ref="F18:G18"/>
    <mergeCell ref="B19:D19"/>
    <mergeCell ref="F19:G19"/>
    <mergeCell ref="A10:B11"/>
    <mergeCell ref="C11:J11"/>
    <mergeCell ref="A12:B14"/>
    <mergeCell ref="C14:E14"/>
    <mergeCell ref="A15:J15"/>
    <mergeCell ref="A2:J2"/>
    <mergeCell ref="A4:J4"/>
    <mergeCell ref="A5:J5"/>
    <mergeCell ref="A7:B9"/>
    <mergeCell ref="C7:D7"/>
    <mergeCell ref="E7:J7"/>
    <mergeCell ref="C8:D8"/>
    <mergeCell ref="E8:J8"/>
    <mergeCell ref="C9:D9"/>
    <mergeCell ref="E9:J9"/>
  </mergeCells>
  <dataValidations count="1">
    <dataValidation type="list" allowBlank="1" showInputMessage="1" showErrorMessage="1" sqref="E9:J9">
      <formula1>$O$2:$O$13</formula1>
      <formula2>0</formula2>
    </dataValidation>
  </dataValidations>
  <pageMargins left="0.70833333333333304" right="0.70833333333333304" top="0.74791666666666701" bottom="0.74791666666666701" header="0.511811023622047" footer="0.511811023622047"/>
  <pageSetup paperSize="9" scale="43" fitToHeight="0" orientation="portrait" horizontalDpi="300" verticalDpi="300" r:id="rId1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261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Для подписания</vt:lpstr>
      <vt:lpstr>'Для подписания'!Область_печати</vt:lpstr>
    </vt:vector>
  </TitlesOfParts>
  <Company>Kraftway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Потураева Людмила Алексеевна</dc:creator>
  <dc:description/>
  <cp:lastModifiedBy>Хакимжанова Евгения Игоревна</cp:lastModifiedBy>
  <cp:revision>6</cp:revision>
  <cp:lastPrinted>2022-10-11T06:29:23Z</cp:lastPrinted>
  <dcterms:created xsi:type="dcterms:W3CDTF">2017-01-20T08:22:37Z</dcterms:created>
  <dcterms:modified xsi:type="dcterms:W3CDTF">2025-11-25T05:03:06Z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0x010100A4F92DFB2D7AE34AB5ED969045F7C917</vt:lpwstr>
  </property>
  <property fmtid="{D5CDD505-2E9C-101B-9397-08002B2CF9AE}" pid="3" name="_dlc_DocIdItemGuid">
    <vt:lpwstr>8aa87759-7131-4f16-94c5-4c0dcf1b6b16</vt:lpwstr>
  </property>
</Properties>
</file>