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 defaultThemeVersion="124226"/>
  <bookViews>
    <workbookView xWindow="210" yWindow="495" windowWidth="19440" windowHeight="11430" tabRatio="908" activeTab="4"/>
  </bookViews>
  <sheets>
    <sheet name="1.1 юридическая" sheetId="3" r:id="rId1"/>
    <sheet name="1.3 квалификационная" sheetId="4" r:id="rId2"/>
    <sheet name="2 эк.безопасность" sheetId="10" r:id="rId3"/>
    <sheet name="3 техническая" sheetId="6" r:id="rId4"/>
    <sheet name="сводный отчет ЭГ" sheetId="12" r:id="rId5"/>
  </sheets>
  <calcPr calcId="145621"/>
</workbook>
</file>

<file path=xl/calcChain.xml><?xml version="1.0" encoding="utf-8"?>
<calcChain xmlns="http://schemas.openxmlformats.org/spreadsheetml/2006/main">
  <c r="D38" i="12" l="1"/>
  <c r="D39" i="12"/>
  <c r="D43" i="12" s="1"/>
  <c r="BK47" i="12"/>
  <c r="BJ47" i="12"/>
  <c r="BI47" i="12"/>
  <c r="BH47" i="12"/>
  <c r="BG47" i="12"/>
  <c r="BF47" i="12"/>
  <c r="BE47" i="12"/>
  <c r="BD47" i="12"/>
  <c r="BC47" i="12"/>
  <c r="BB47" i="12"/>
  <c r="BA47" i="12"/>
  <c r="AZ47" i="12"/>
  <c r="AY47" i="12"/>
  <c r="AX47" i="12"/>
  <c r="AW47" i="12"/>
  <c r="AV47" i="12"/>
  <c r="AU47" i="12"/>
  <c r="AT47" i="12"/>
  <c r="AS47" i="12"/>
  <c r="AR47" i="12"/>
  <c r="AQ47" i="12"/>
  <c r="AP47" i="12"/>
  <c r="AO47" i="12"/>
  <c r="AN47" i="12"/>
  <c r="AM47" i="12"/>
  <c r="AL47" i="12"/>
  <c r="AK47" i="12"/>
  <c r="AJ47" i="12"/>
  <c r="AI47" i="12"/>
  <c r="AH47" i="12"/>
  <c r="AG47" i="12"/>
  <c r="AF47" i="12"/>
  <c r="AE47" i="12"/>
  <c r="AD47" i="12"/>
  <c r="AC47" i="12"/>
  <c r="AB47" i="12"/>
  <c r="AA47" i="12"/>
  <c r="Z47" i="12"/>
  <c r="Y47" i="12"/>
  <c r="X47" i="12"/>
  <c r="W44" i="12"/>
  <c r="W47" i="12" s="1"/>
  <c r="V44" i="12"/>
  <c r="V47" i="12" s="1"/>
  <c r="U44" i="12"/>
  <c r="U47" i="12"/>
  <c r="T44" i="12"/>
  <c r="T47" i="12" s="1"/>
  <c r="S44" i="12"/>
  <c r="S47" i="12"/>
  <c r="R44" i="12"/>
  <c r="R47" i="12" s="1"/>
  <c r="Q44" i="12"/>
  <c r="Q47" i="12" s="1"/>
  <c r="P44" i="12"/>
  <c r="P47" i="12" s="1"/>
  <c r="O44" i="12"/>
  <c r="O47" i="12" s="1"/>
  <c r="N44" i="12"/>
  <c r="N47" i="12" s="1"/>
  <c r="M47" i="12"/>
  <c r="L47" i="12"/>
  <c r="K47" i="12"/>
  <c r="D47" i="12"/>
  <c r="BK39" i="12"/>
  <c r="BK43" i="12" s="1"/>
  <c r="BJ39" i="12"/>
  <c r="BJ43" i="12"/>
  <c r="BI39" i="12"/>
  <c r="BI43" i="12" s="1"/>
  <c r="BH39" i="12"/>
  <c r="BH43" i="12"/>
  <c r="BG39" i="12"/>
  <c r="BG43" i="12" s="1"/>
  <c r="BF39" i="12"/>
  <c r="BF43" i="12"/>
  <c r="BE39" i="12"/>
  <c r="BE43" i="12" s="1"/>
  <c r="BD39" i="12"/>
  <c r="BD43" i="12"/>
  <c r="BC39" i="12"/>
  <c r="BC43" i="12" s="1"/>
  <c r="BB39" i="12"/>
  <c r="BB43" i="12"/>
  <c r="BA39" i="12"/>
  <c r="BA43" i="12" s="1"/>
  <c r="AZ39" i="12"/>
  <c r="AZ43" i="12" s="1"/>
  <c r="AY39" i="12"/>
  <c r="AY43" i="12" s="1"/>
  <c r="AX39" i="12"/>
  <c r="AX43" i="12" s="1"/>
  <c r="AW39" i="12"/>
  <c r="AW43" i="12" s="1"/>
  <c r="AV39" i="12"/>
  <c r="AV43" i="12" s="1"/>
  <c r="AU39" i="12"/>
  <c r="AU43" i="12" s="1"/>
  <c r="AT39" i="12"/>
  <c r="AT43" i="12" s="1"/>
  <c r="AS39" i="12"/>
  <c r="AS43" i="12" s="1"/>
  <c r="AR39" i="12"/>
  <c r="AR43" i="12" s="1"/>
  <c r="AQ39" i="12"/>
  <c r="AQ43" i="12" s="1"/>
  <c r="AP39" i="12"/>
  <c r="AP43" i="12" s="1"/>
  <c r="AO39" i="12"/>
  <c r="AO43" i="12" s="1"/>
  <c r="AN39" i="12"/>
  <c r="AN43" i="12" s="1"/>
  <c r="AM39" i="12"/>
  <c r="AM43" i="12" s="1"/>
  <c r="AL39" i="12"/>
  <c r="AL43" i="12" s="1"/>
  <c r="AK39" i="12"/>
  <c r="AK43" i="12" s="1"/>
  <c r="AJ39" i="12"/>
  <c r="AJ43" i="12" s="1"/>
  <c r="AI39" i="12"/>
  <c r="AI43" i="12" s="1"/>
  <c r="AH39" i="12"/>
  <c r="AH43" i="12" s="1"/>
  <c r="AG39" i="12"/>
  <c r="AG43" i="12" s="1"/>
  <c r="AF39" i="12"/>
  <c r="AF43" i="12" s="1"/>
  <c r="AE39" i="12"/>
  <c r="AE43" i="12" s="1"/>
  <c r="AD39" i="12"/>
  <c r="AD43" i="12" s="1"/>
  <c r="AC39" i="12"/>
  <c r="AC43" i="12" s="1"/>
  <c r="AB39" i="12"/>
  <c r="AB43" i="12" s="1"/>
  <c r="AA39" i="12"/>
  <c r="AA43" i="12" s="1"/>
  <c r="Z39" i="12"/>
  <c r="Z43" i="12" s="1"/>
  <c r="Y39" i="12"/>
  <c r="Y43" i="12" s="1"/>
  <c r="X39" i="12"/>
  <c r="X43" i="12" s="1"/>
  <c r="W39" i="12"/>
  <c r="W43" i="12" s="1"/>
  <c r="V39" i="12"/>
  <c r="V43" i="12" s="1"/>
  <c r="U39" i="12"/>
  <c r="U43" i="12" s="1"/>
  <c r="T39" i="12"/>
  <c r="T43" i="12" s="1"/>
  <c r="S39" i="12"/>
  <c r="S43" i="12" s="1"/>
  <c r="R39" i="12"/>
  <c r="R43" i="12" s="1"/>
  <c r="Q39" i="12"/>
  <c r="Q43" i="12" s="1"/>
  <c r="P39" i="12"/>
  <c r="P43" i="12" s="1"/>
  <c r="O39" i="12"/>
  <c r="O43" i="12" s="1"/>
  <c r="N39" i="12"/>
  <c r="N43" i="12" s="1"/>
  <c r="M43" i="12"/>
  <c r="L43" i="12"/>
  <c r="K43" i="12"/>
  <c r="BK36" i="12"/>
  <c r="BJ36" i="12"/>
  <c r="BI36" i="12"/>
  <c r="BH36" i="12"/>
  <c r="BG36" i="12"/>
  <c r="BF36" i="12"/>
  <c r="BE36" i="12"/>
  <c r="BD36" i="12"/>
  <c r="BC36" i="12"/>
  <c r="BB36" i="12"/>
  <c r="BA36" i="12"/>
  <c r="AZ36" i="12"/>
  <c r="AY36" i="12"/>
  <c r="AX36" i="12"/>
  <c r="AW36" i="12"/>
  <c r="AV36" i="12"/>
  <c r="AU36" i="12"/>
  <c r="AT36" i="12"/>
  <c r="AS36" i="12"/>
  <c r="AR36" i="12"/>
  <c r="AQ36" i="12"/>
  <c r="AP36" i="12"/>
  <c r="AO36" i="12"/>
  <c r="AN36" i="12"/>
  <c r="AM36" i="12"/>
  <c r="AL36" i="12"/>
  <c r="AK36" i="12"/>
  <c r="AJ36" i="12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W38" i="12"/>
  <c r="V36" i="12"/>
  <c r="V38" i="12"/>
  <c r="U36" i="12"/>
  <c r="U38" i="12"/>
  <c r="T36" i="12"/>
  <c r="T38" i="12"/>
  <c r="S36" i="12"/>
  <c r="S38" i="12"/>
  <c r="R36" i="12"/>
  <c r="R38" i="12"/>
  <c r="Q36" i="12"/>
  <c r="Q38" i="12"/>
  <c r="P36" i="12"/>
  <c r="P38" i="12"/>
  <c r="O36" i="12"/>
  <c r="O38" i="12"/>
  <c r="N36" i="12"/>
  <c r="N38" i="12"/>
  <c r="M38" i="12"/>
  <c r="L38" i="12"/>
  <c r="K38" i="12"/>
  <c r="W30" i="12"/>
  <c r="V30" i="12"/>
  <c r="U30" i="12"/>
  <c r="T30" i="12"/>
  <c r="S30" i="12"/>
  <c r="R30" i="12"/>
  <c r="Q30" i="12"/>
  <c r="P30" i="12"/>
  <c r="O30" i="12"/>
  <c r="N30" i="12"/>
  <c r="D30" i="12"/>
  <c r="D23" i="12" s="1"/>
  <c r="D35" i="12" s="1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AG24" i="12"/>
  <c r="AF24" i="12"/>
  <c r="AE24" i="12"/>
  <c r="AD24" i="12"/>
  <c r="AC24" i="12"/>
  <c r="AB24" i="12"/>
  <c r="AA24" i="12"/>
  <c r="Z24" i="12"/>
  <c r="Y24" i="12"/>
  <c r="X24" i="12"/>
  <c r="W24" i="12"/>
  <c r="W23" i="12" s="1"/>
  <c r="W35" i="12" s="1"/>
  <c r="V24" i="12"/>
  <c r="V23" i="12" s="1"/>
  <c r="V35" i="12" s="1"/>
  <c r="U24" i="12"/>
  <c r="U23" i="12" s="1"/>
  <c r="U35" i="12" s="1"/>
  <c r="T24" i="12"/>
  <c r="T23" i="12" s="1"/>
  <c r="T35" i="12" s="1"/>
  <c r="S24" i="12"/>
  <c r="S23" i="12" s="1"/>
  <c r="S35" i="12" s="1"/>
  <c r="S48" i="12" s="1"/>
  <c r="R24" i="12"/>
  <c r="R23" i="12" s="1"/>
  <c r="R35" i="12" s="1"/>
  <c r="Q24" i="12"/>
  <c r="Q23" i="12" s="1"/>
  <c r="Q35" i="12" s="1"/>
  <c r="P24" i="12"/>
  <c r="P23" i="12" s="1"/>
  <c r="P35" i="12" s="1"/>
  <c r="O24" i="12"/>
  <c r="O23" i="12" s="1"/>
  <c r="O35" i="12" s="1"/>
  <c r="N24" i="12"/>
  <c r="N23" i="12" s="1"/>
  <c r="N35" i="12" s="1"/>
  <c r="M35" i="12"/>
  <c r="L35" i="12"/>
  <c r="L48" i="12" s="1"/>
  <c r="K35" i="12"/>
  <c r="D24" i="12"/>
  <c r="BK23" i="12"/>
  <c r="BK35" i="12" s="1"/>
  <c r="BJ23" i="12"/>
  <c r="BJ35" i="12" s="1"/>
  <c r="BI23" i="12"/>
  <c r="BI35" i="12" s="1"/>
  <c r="BH23" i="12"/>
  <c r="BH35" i="12" s="1"/>
  <c r="BG23" i="12"/>
  <c r="BG35" i="12" s="1"/>
  <c r="BF23" i="12"/>
  <c r="BF35" i="12" s="1"/>
  <c r="BE23" i="12"/>
  <c r="BE35" i="12" s="1"/>
  <c r="BD23" i="12"/>
  <c r="BD35" i="12" s="1"/>
  <c r="BC23" i="12"/>
  <c r="BC35" i="12" s="1"/>
  <c r="BB23" i="12"/>
  <c r="BB35" i="12" s="1"/>
  <c r="BA23" i="12"/>
  <c r="BA35" i="12" s="1"/>
  <c r="AZ23" i="12"/>
  <c r="AZ35" i="12" s="1"/>
  <c r="AY23" i="12"/>
  <c r="AY35" i="12" s="1"/>
  <c r="AX23" i="12"/>
  <c r="AX35" i="12" s="1"/>
  <c r="AW23" i="12"/>
  <c r="AW35" i="12" s="1"/>
  <c r="AV23" i="12"/>
  <c r="AV35" i="12" s="1"/>
  <c r="AU23" i="12"/>
  <c r="AU35" i="12" s="1"/>
  <c r="AT23" i="12"/>
  <c r="AT35" i="12" s="1"/>
  <c r="AS23" i="12"/>
  <c r="AS35" i="12" s="1"/>
  <c r="AR23" i="12"/>
  <c r="AR35" i="12" s="1"/>
  <c r="AQ23" i="12"/>
  <c r="AQ35" i="12" s="1"/>
  <c r="AP23" i="12"/>
  <c r="AP35" i="12" s="1"/>
  <c r="AO23" i="12"/>
  <c r="AO35" i="12" s="1"/>
  <c r="AN23" i="12"/>
  <c r="AN35" i="12" s="1"/>
  <c r="AM23" i="12"/>
  <c r="AM35" i="12" s="1"/>
  <c r="AL23" i="12"/>
  <c r="AL35" i="12" s="1"/>
  <c r="AK23" i="12"/>
  <c r="AK35" i="12" s="1"/>
  <c r="AJ23" i="12"/>
  <c r="AJ35" i="12" s="1"/>
  <c r="AI23" i="12"/>
  <c r="AI35" i="12" s="1"/>
  <c r="AH23" i="12"/>
  <c r="AH35" i="12" s="1"/>
  <c r="AG23" i="12"/>
  <c r="AG35" i="12" s="1"/>
  <c r="AF23" i="12"/>
  <c r="AF35" i="12" s="1"/>
  <c r="AE23" i="12"/>
  <c r="AE35" i="12" s="1"/>
  <c r="AD23" i="12"/>
  <c r="AD35" i="12" s="1"/>
  <c r="AC23" i="12"/>
  <c r="AC35" i="12" s="1"/>
  <c r="AB23" i="12"/>
  <c r="AB35" i="12" s="1"/>
  <c r="AA23" i="12"/>
  <c r="AA35" i="12" s="1"/>
  <c r="Z23" i="12"/>
  <c r="Z35" i="12" s="1"/>
  <c r="Y23" i="12"/>
  <c r="Y35" i="12" s="1"/>
  <c r="X23" i="12"/>
  <c r="X35" i="12" s="1"/>
  <c r="D48" i="12" l="1"/>
  <c r="K48" i="12"/>
  <c r="M48" i="12"/>
  <c r="P48" i="12"/>
  <c r="O48" i="12"/>
  <c r="N48" i="12"/>
  <c r="R48" i="12"/>
  <c r="V48" i="12"/>
  <c r="W48" i="12"/>
  <c r="T48" i="12"/>
  <c r="Q48" i="12"/>
  <c r="U48" i="12"/>
</calcChain>
</file>

<file path=xl/sharedStrings.xml><?xml version="1.0" encoding="utf-8"?>
<sst xmlns="http://schemas.openxmlformats.org/spreadsheetml/2006/main" count="4887" uniqueCount="141">
  <si>
    <t>Способ закупки:</t>
  </si>
  <si>
    <t>№ п/п</t>
  </si>
  <si>
    <t>Наименование участника процедуры</t>
  </si>
  <si>
    <t>Цена договора, предложенная участником, руб. без НДС</t>
  </si>
  <si>
    <t/>
  </si>
  <si>
    <t>1</t>
  </si>
  <si>
    <t>Критерии оценки</t>
  </si>
  <si>
    <t xml:space="preserve"> ИНДИВИДУАЛЬНОЕ ЗАКЛЮЧЕНИЕ ПО ЭКСПЕРТНОЙ ОЦЕНКЕ ЗАЯВОК НА УЧАСТИЕ В ЗАКУПКЕ </t>
  </si>
  <si>
    <t>Эксперт:</t>
  </si>
  <si>
    <t>Предмет закупки:</t>
  </si>
  <si>
    <t>Предмет договора:</t>
  </si>
  <si>
    <t>Карта закупок:</t>
  </si>
  <si>
    <t xml:space="preserve">Вид экспертизы: </t>
  </si>
  <si>
    <t>Таблица № 1. Отборочная стадия</t>
  </si>
  <si>
    <t>№ п/п критерия</t>
  </si>
  <si>
    <t xml:space="preserve">Наименование отборочного критерия </t>
  </si>
  <si>
    <r>
      <t xml:space="preserve">Экспертные оценки: </t>
    </r>
    <r>
      <rPr>
        <sz val="12"/>
        <color indexed="10"/>
        <rFont val="Times New Roman"/>
        <family val="1"/>
        <charset val="204"/>
      </rPr>
      <t>«Соответствует»</t>
    </r>
    <r>
      <rPr>
        <sz val="12"/>
        <rFont val="Times New Roman"/>
        <family val="1"/>
        <charset val="204"/>
      </rPr>
      <t xml:space="preserve"> или </t>
    </r>
    <r>
      <rPr>
        <sz val="12"/>
        <color indexed="10"/>
        <rFont val="Times New Roman"/>
        <family val="1"/>
        <charset val="204"/>
      </rPr>
      <t>«Не соответствует»</t>
    </r>
    <r>
      <rPr>
        <sz val="12"/>
        <rFont val="Times New Roman"/>
        <family val="1"/>
        <charset val="204"/>
      </rPr>
      <t xml:space="preserve"> требованиям закупочной документации  </t>
    </r>
    <r>
      <rPr>
        <sz val="12"/>
        <color indexed="10"/>
        <rFont val="Times New Roman"/>
        <family val="1"/>
        <charset val="204"/>
      </rPr>
      <t xml:space="preserve">(в случае несоответствия заполняется заключение ниже) </t>
    </r>
    <r>
      <rPr>
        <sz val="12"/>
        <rFont val="Times New Roman"/>
        <family val="1"/>
        <charset val="204"/>
      </rPr>
      <t>и рекомендации по отклонению или допуску участника</t>
    </r>
  </si>
  <si>
    <t>Соответствие Участника и его Заявки (Предложения) требованиям закупочной докумен</t>
  </si>
  <si>
    <t>Рекомендации эксперта по отклонению или допуску участника</t>
  </si>
  <si>
    <t>Таблица № 2. Оценочная стадия</t>
  </si>
  <si>
    <t>наименование оценочных критериев/подкритериев</t>
  </si>
  <si>
    <t>Шкала выставления баллов</t>
  </si>
  <si>
    <t>Предложение Участников (описание заполняется экспертом)</t>
  </si>
  <si>
    <t>Итоговый балл по данному подкритерию:</t>
  </si>
  <si>
    <t>юридическая</t>
  </si>
  <si>
    <t>Приемлемость условий договора, предложенных участником</t>
  </si>
  <si>
    <t>От 4 до 5 баллов Не используется для оценки</t>
  </si>
  <si>
    <t>Риск заключения договора с участником, в связи с предоставлением в составе заявки документов, не соответствующих требованиям закупочной документации либо их отсутствием</t>
  </si>
  <si>
    <t>От 4 до 5 баллов Диапазон не используется для оценки</t>
  </si>
  <si>
    <t>Срок действия оферты</t>
  </si>
  <si>
    <t>5 баллов Не используется для оценки</t>
  </si>
  <si>
    <t>4 балла Срок действия оферты, предложенный Участником более срока, указанного  в Закупочной (конкурсной) документации более, чем на 30 дней.</t>
  </si>
  <si>
    <t>3 балла Срок действия оферты, предложенный Участником соответствует требованиям  Закупочной документации</t>
  </si>
  <si>
    <t>2 балла Не используется для оценки</t>
  </si>
  <si>
    <t>1 балл Не используется для оценки</t>
  </si>
  <si>
    <t>0 баллов Не используется для оценки</t>
  </si>
  <si>
    <t>квалификационная</t>
  </si>
  <si>
    <t>Наличие и квалификация персонала</t>
  </si>
  <si>
    <t>3 балла Наличие и квалификация персонала соответствует минимальным  требованиям закупочной документации.</t>
  </si>
  <si>
    <t>От 1 до 2 баллов данный диапазон не используется</t>
  </si>
  <si>
    <t>Наличие материальных ресурсов</t>
  </si>
  <si>
    <t>0 баллов Сведения о наличии материальных ресурсов ниже указанных в закупочной документации или сведения не представлены.</t>
  </si>
  <si>
    <t>техническая</t>
  </si>
  <si>
    <t>0 баллов Наличие и квалификация персонала ниже требований закупочной документации, либо сведения не представлены</t>
  </si>
  <si>
    <t>3 балла Участник имеет материальные ресурсы, соответствующие минимальным требованим Закупочной документации</t>
  </si>
  <si>
    <t>От 1 до 2 баллов Данный диапазон не используется</t>
  </si>
  <si>
    <t>От 1 до 2 баллов Данный диапазон не  используется</t>
  </si>
  <si>
    <r>
      <t>2 балла Не представление участником справок (одной или обоих) о крупности и/или заинтересованности сделок или представление участником справок (одной или обоих) о крупности и/или заинтересованности сделок не соответствующих требованиям  Закупочной документации и/или законодательству РФ</t>
    </r>
    <r>
      <rPr>
        <b/>
        <sz val="11"/>
        <color indexed="56"/>
        <rFont val="Times New Roman"/>
        <family val="1"/>
        <charset val="204"/>
      </rPr>
      <t>; не представление действующей версии Устава; копий свидетельства о государственной регистрации и о постановке на учет в налоговые органы</t>
    </r>
  </si>
  <si>
    <r>
      <t>0 баллов Непредставление документов, установленных требованиями Закупочной документации и/или представление документов не соответствующих требованиям Закупочной документации и/или представление документов, не подтверждающих соответствие участника требованиям Закупочной документации</t>
    </r>
    <r>
      <rPr>
        <b/>
        <sz val="11"/>
        <color indexed="56"/>
        <rFont val="Times New Roman"/>
        <family val="1"/>
        <charset val="204"/>
      </rPr>
      <t xml:space="preserve"> (за исключением документов, указанных при описании оценки 2 балла). О</t>
    </r>
    <r>
      <rPr>
        <b/>
        <sz val="11"/>
        <rFont val="Times New Roman"/>
        <family val="1"/>
        <charset val="204"/>
      </rPr>
      <t>тсутствие участника в Един</t>
    </r>
    <r>
      <rPr>
        <b/>
        <sz val="11"/>
        <color indexed="56"/>
        <rFont val="Times New Roman"/>
        <family val="1"/>
        <charset val="204"/>
      </rPr>
      <t>ом</t>
    </r>
    <r>
      <rPr>
        <b/>
        <sz val="11"/>
        <rFont val="Times New Roman"/>
        <family val="1"/>
        <charset val="204"/>
      </rPr>
      <t xml:space="preserve"> реестр</t>
    </r>
    <r>
      <rPr>
        <b/>
        <sz val="11"/>
        <color indexed="56"/>
        <rFont val="Times New Roman"/>
        <family val="1"/>
        <charset val="204"/>
      </rPr>
      <t>е</t>
    </r>
    <r>
      <rPr>
        <b/>
        <sz val="11"/>
        <rFont val="Times New Roman"/>
        <family val="1"/>
        <charset val="204"/>
      </rPr>
      <t xml:space="preserve"> СМСП (при закупке у СМСП)</t>
    </r>
  </si>
  <si>
    <t xml:space="preserve">3 балла Участник согласен с условиями договора или участник представил протокол разногласий с "желательными" условиями не влияющими на положение Заказчика </t>
  </si>
  <si>
    <t xml:space="preserve">1 балл Участником представлен протокол разногласий с "желательными" условиями влияющими/ухудшающими положение Заказчика  </t>
  </si>
  <si>
    <t>0 баллов Участник не представил протокол разногласий в соответствии с формой, установленной закупочной документацией и/или письма-согласия с условиями договора, и/или представлен протокол разногласий с "обязательными" условиями и/или без указания статуса условий</t>
  </si>
  <si>
    <t>3 балла Участник/предложение участника соответствует требованиям Закупочной документации. Приемлемые риски</t>
  </si>
  <si>
    <t xml:space="preserve">2 балла Не используется для оценки </t>
  </si>
  <si>
    <t>Наличие отношений с производителем</t>
  </si>
  <si>
    <t>От 4 до 5 баллов данный диапазон не используется</t>
  </si>
  <si>
    <t>3 балла Участник соответствует требованиям закупочной документации по предоставлению полномочий производителя либо лично является производителем.</t>
  </si>
  <si>
    <t>0 баллов  Отношения с производителем не подтверждены, либо отсутствует подтверждение, что участник является производителем</t>
  </si>
  <si>
    <t>0 баллов Не представлены сведения, либо представленный опыт ниже минимальных требований закупочной документации</t>
  </si>
  <si>
    <t xml:space="preserve">3 балла Опыт поставок соответствует минимальным требованиям закупочной документации </t>
  </si>
  <si>
    <t>Опыт поставок</t>
  </si>
  <si>
    <t>Соответствие объема и качества предлагаемого товара требованиям ТЗ</t>
  </si>
  <si>
    <t>Временные параметры поставки</t>
  </si>
  <si>
    <t>Гарантийные обязательства</t>
  </si>
  <si>
    <t>0 баллов Участник не представил (не подтвердил) объем и/или качество поставляемого товара, либо объем и/или качество поставляемого товара не соответствуют  минимальным требовниям Закупочной документации</t>
  </si>
  <si>
    <t>3 балла Предложенные гарантийные обязательства  соответствуют требованиям/условиям  Закупочной документации</t>
  </si>
  <si>
    <t>4 балла Предложенные гарантийные обязательства  улучшают требования закупочной документации, но не более чем в 2 раза</t>
  </si>
  <si>
    <t>5 баллов Предложенные гарантийные обязательства  улучшают требования закупочной документации более чем в 2 раза</t>
  </si>
  <si>
    <t>0 баллов Участник не подтвердил гарантийные обязательства,  либо предложенные обязательства меньше (хуже) требований Закупочной документации</t>
  </si>
  <si>
    <t>5 баллов Оценка не используется</t>
  </si>
  <si>
    <t>4 балла Предложенные временные параметры поставки участника  улучшают требования закупочной документации, в случае если возможность таких улучшений была указана в Закупочной документации</t>
  </si>
  <si>
    <t>0 баллов Участник не указал временные параметры поставки, либо предложенные параметры поставки не соответствуют требованиям Закупочной документации</t>
  </si>
  <si>
    <t>3 балла Предложенные временные параметры поставки  соответствуют требованиям/условиям  Закупочной документации</t>
  </si>
  <si>
    <t>4 балла Предложение участника полностью соответствует требованиям  Закупочной документации по объему и качеству поставляемого товара. Подтверждены желательные требования</t>
  </si>
  <si>
    <t>4 балла Опыт поставок превышает  минимальные требования закупочной документациию ИЛИ подтверждены желательные требования</t>
  </si>
  <si>
    <t>5 баллов Опыт поставок превышает  минимальные требования закупочной документациию И подтверждены желательные требования</t>
  </si>
  <si>
    <t>4  балла Материальные ресурсы Участника превышают минимальные требования закупочной документации ИЛИ  подтверждены желательные требования</t>
  </si>
  <si>
    <t>5 баллов Материальные ресурсы Участника превышают минимальные требования закупочной документации И подтверждены желательные требования</t>
  </si>
  <si>
    <t>4 балла Наличие и квалификация персонала выше минимальных  требований закупочной документации ИЛИ подтверждены желательные требования</t>
  </si>
  <si>
    <t>5 баллов Наличие и квалификация персонала выше минимальных  требований закупочной документации И подтверждены желательные требования</t>
  </si>
  <si>
    <t>3 балла Предложение участника полностью соответствует требованиям  Закупочной документации по объему и качеству поставляемого товара. В случае обязательного наличия требования о предоставлении сертификата, подтверждающего качество продукции, такой документ предоставлен</t>
  </si>
  <si>
    <t>Сводный отчет Экспертной группы</t>
  </si>
  <si>
    <t>№ ИК:</t>
  </si>
  <si>
    <t xml:space="preserve">Ф.И.О КУРАТОРА ЭКСПЕРТИЗЫ: </t>
  </si>
  <si>
    <t>Предельная цена закупки (Сумма ГКПЗ)</t>
  </si>
  <si>
    <t>Цена договора, предложенная участником, руб. без НДС с учетом преференций</t>
  </si>
  <si>
    <t>Отклонение или допуск по отборочной стадии</t>
  </si>
  <si>
    <t>Комментарии и пункт закупочной документации при отклонении</t>
  </si>
  <si>
    <t>Весовой  коэф-т</t>
  </si>
  <si>
    <t>Баллы участников (Б)</t>
  </si>
  <si>
    <t>1 Надежность Участника</t>
  </si>
  <si>
    <t>1.2.1 Экономические риски с учётом платёжеспособности и финансовой устойчивости</t>
  </si>
  <si>
    <t>1.3.1 Наличие и квалификация персонала</t>
  </si>
  <si>
    <t>Итого (с учётом весовых коэфициентов) Б*ВК</t>
  </si>
  <si>
    <t>2.1 Деловая репутация Участника</t>
  </si>
  <si>
    <t>3.2 Временные параметры поставки</t>
  </si>
  <si>
    <t>4.1 Цена договора, предложенная участником с учетом преференций</t>
  </si>
  <si>
    <t>4.2 Цена договора, предложенная участником с учетом суммы упущенной выгоды/потенциального депозитного дохода</t>
  </si>
  <si>
    <t>Сумма баллов (с учетом весовых коэффициентов) SБ*хВК:</t>
  </si>
  <si>
    <t>Ранжировка предложений по сумме экспертных оценок</t>
  </si>
  <si>
    <t>* Заполняются только ячейки, выделеные данным цветом</t>
  </si>
  <si>
    <t>№ ЕИСЗ</t>
  </si>
  <si>
    <t xml:space="preserve">№: </t>
  </si>
  <si>
    <t>ФИО</t>
  </si>
  <si>
    <t>Участник 1</t>
  </si>
  <si>
    <t>Участник 2</t>
  </si>
  <si>
    <t>Участник 3</t>
  </si>
  <si>
    <t>Соответствие Участника и его Заявки (Предложения) требованиям закупочной документации</t>
  </si>
  <si>
    <r>
      <t xml:space="preserve">Комментарии: </t>
    </r>
    <r>
      <rPr>
        <i/>
        <sz val="12"/>
        <color indexed="62"/>
        <rFont val="Arial"/>
        <family val="2"/>
        <charset val="204"/>
      </rPr>
      <t>[заполняется во всех случаях несоответствия с подробным описанием причины несоответствия]</t>
    </r>
    <r>
      <rPr>
        <sz val="12"/>
        <rFont val="Arial"/>
        <family val="2"/>
        <charset val="204"/>
      </rPr>
      <t xml:space="preserve">: 
</t>
    </r>
    <r>
      <rPr>
        <i/>
        <sz val="12"/>
        <color indexed="62"/>
        <rFont val="Arial"/>
        <family val="2"/>
        <charset val="204"/>
      </rPr>
      <t xml:space="preserve">[указывается наименование Участника] </t>
    </r>
    <r>
      <rPr>
        <sz val="12"/>
        <rFont val="Arial"/>
        <family val="2"/>
        <charset val="204"/>
      </rPr>
      <t xml:space="preserve">указал/предоставил/не предостаил  </t>
    </r>
    <r>
      <rPr>
        <i/>
        <sz val="12"/>
        <color indexed="62"/>
        <rFont val="Arial"/>
        <family val="2"/>
        <charset val="204"/>
      </rPr>
      <t>[указывается недостаток  Участника или его предложения]</t>
    </r>
    <r>
      <rPr>
        <sz val="12"/>
        <rFont val="Arial"/>
        <family val="2"/>
        <charset val="204"/>
      </rPr>
      <t xml:space="preserve"> что  не соответствуют пункту </t>
    </r>
    <r>
      <rPr>
        <i/>
        <sz val="12"/>
        <color indexed="62"/>
        <rFont val="Arial"/>
        <family val="2"/>
        <charset val="204"/>
      </rPr>
      <t>[указывается пункт закупочной документации, где присутствовало данное требование]</t>
    </r>
    <r>
      <rPr>
        <sz val="12"/>
        <rFont val="Arial"/>
        <family val="2"/>
        <charset val="204"/>
      </rPr>
      <t xml:space="preserve">. 
Аналогично заполняется по каждому из Участников закупки в случае его несоответствия.
</t>
    </r>
  </si>
  <si>
    <t>Руководитель экспертной группы  ____________________ (ФИО)</t>
  </si>
  <si>
    <t>"____"_______________г.</t>
  </si>
  <si>
    <t>Рекомендации эксперта по отклонению или допуску участника (отклонить/допустить)</t>
  </si>
  <si>
    <t xml:space="preserve">Лот №: </t>
  </si>
  <si>
    <t>Лот №:</t>
  </si>
  <si>
    <t>АО "ЮТСК"</t>
  </si>
  <si>
    <t>Эксперт (должность)</t>
  </si>
  <si>
    <t>Ф.И.О.</t>
  </si>
  <si>
    <t>Дата выдачи заключения</t>
  </si>
  <si>
    <t>экономическая безопасность</t>
  </si>
  <si>
    <t>Деловая репутация</t>
  </si>
  <si>
    <t>1.3 Квалификационная экспертиза</t>
  </si>
  <si>
    <t>1.1.1  Приемлемость условий договора, предложенных участником</t>
  </si>
  <si>
    <t>1.1.2 Оценка риска заключения договора с участником, в связи с предоставлением в составе заявки документов, не соответствующих требованиям закупочной документации либо их отсутствием</t>
  </si>
  <si>
    <t>1.1.3 Срок действия оферты</t>
  </si>
  <si>
    <t>1.1 Юридическая экспертиза</t>
  </si>
  <si>
    <t>1.2 Финансово-экономическая экспертиза</t>
  </si>
  <si>
    <t>1.3.3 Наличие материальных ресурсов</t>
  </si>
  <si>
    <t xml:space="preserve">1.3.2 Наличие отношений с производителями </t>
  </si>
  <si>
    <t>1.3.4 Опыт выполнения поставок</t>
  </si>
  <si>
    <t>3 Техническая экспертиза</t>
  </si>
  <si>
    <t>3.1 Гарантийные обязательства</t>
  </si>
  <si>
    <t>3.3 Соответствие объема и качества предлагаемого товара требованиям ТЗ</t>
  </si>
  <si>
    <t>2 Экспертиза экономической безопасности</t>
  </si>
  <si>
    <t>4 Коммерческая экспертиза</t>
  </si>
  <si>
    <t>От 0 до 5 баллов  Устанавливаются на основании Методики МТ-123-4 "Оценка деловой репутации контрагентов-резидентов РФ"</t>
  </si>
  <si>
    <t>Синицын А.Б.</t>
  </si>
  <si>
    <r>
      <rPr>
        <b/>
        <sz val="12"/>
        <rFont val="Times New Roman"/>
        <family val="1"/>
        <charset val="204"/>
      </rPr>
      <t>Способ закупки:</t>
    </r>
    <r>
      <rPr>
        <sz val="12"/>
        <rFont val="Times New Roman"/>
        <family val="1"/>
        <charset val="204"/>
      </rPr>
      <t xml:space="preserve">  открытый запрос предложений в электронной форме</t>
    </r>
  </si>
  <si>
    <r>
      <rPr>
        <b/>
        <sz val="10"/>
        <rFont val="Times New Roman"/>
        <family val="1"/>
        <charset val="204"/>
      </rPr>
      <t>Лот№ 1:</t>
    </r>
    <r>
      <rPr>
        <sz val="10"/>
        <rFont val="Times New Roman"/>
        <family val="1"/>
        <charset val="204"/>
      </rPr>
      <t xml:space="preserve"> Закупка «Материально-технические запасы по ГО и ЧС»</t>
    </r>
  </si>
  <si>
    <r>
      <t xml:space="preserve">Наименование закупочной процедуры: </t>
    </r>
    <r>
      <rPr>
        <sz val="12"/>
        <rFont val="Times New Roman"/>
        <family val="1"/>
        <charset val="204"/>
      </rPr>
      <t xml:space="preserve"> Закупка «Материально-технические запасы по ГО и ЧС»</t>
    </r>
  </si>
  <si>
    <t>ОБЩЕСТВО С ОГРАНИЧЕННОЙ ОТВЕТСТВЕННОСТЬЮ "Многопрофильная чрезвычайная служба  гражданской обороны "Экран"</t>
  </si>
  <si>
    <t>ООО"Многопрофильная чрезвычайная служба  гражданской обороны "Экран""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</si>
</sst>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4" x14ac:knownFonts="1"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Times New Roman"/>
      <family val="1"/>
      <charset val="204"/>
    </font>
    <font>
      <b/>
      <sz val="8"/>
      <name val="Times New Roman"/>
      <family val="1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sz val="11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b/>
      <sz val="11"/>
      <color indexed="56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i/>
      <sz val="12"/>
      <color indexed="62"/>
      <name val="Arial"/>
      <family val="2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6" tint="0.39997558519241921"/>
        <bgColor indexed="64"/>
      </patternFill>
    </fill>
  </fills>
  <borders count="97">
    <border>
      <left/>
      <right/>
      <top/>
      <bottom/>
      <diagonal/>
    </border>
    <border>
      <left style="double">
        <color indexed="0"/>
      </left>
      <right/>
      <top/>
      <bottom style="thin">
        <color indexed="0"/>
      </bottom>
      <diagonal/>
    </border>
    <border>
      <left style="medium">
        <color indexed="0"/>
      </left>
      <right style="thin">
        <color indexed="0"/>
      </right>
      <top style="medium">
        <color indexed="0"/>
      </top>
      <bottom style="thin">
        <color indexed="0"/>
      </bottom>
      <diagonal/>
    </border>
    <border>
      <left style="medium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0"/>
      </left>
      <right style="thin">
        <color indexed="0"/>
      </right>
      <top/>
      <bottom style="medium">
        <color indexed="0"/>
      </bottom>
      <diagonal/>
    </border>
    <border>
      <left style="thin">
        <color indexed="0"/>
      </left>
      <right style="thin">
        <color indexed="0"/>
      </right>
      <top/>
      <bottom style="medium">
        <color indexed="0"/>
      </bottom>
      <diagonal/>
    </border>
    <border>
      <left style="double">
        <color indexed="0"/>
      </left>
      <right/>
      <top style="double">
        <color indexed="0"/>
      </top>
      <bottom style="double">
        <color indexed="0"/>
      </bottom>
      <diagonal/>
    </border>
    <border>
      <left style="thin">
        <color indexed="0"/>
      </left>
      <right style="thin">
        <color indexed="0"/>
      </right>
      <top style="double">
        <color indexed="0"/>
      </top>
      <bottom style="double">
        <color indexed="0"/>
      </bottom>
      <diagonal/>
    </border>
    <border>
      <left style="thin">
        <color indexed="0"/>
      </left>
      <right/>
      <top style="hair">
        <color indexed="0"/>
      </top>
      <bottom style="thin">
        <color indexed="0"/>
      </bottom>
      <diagonal/>
    </border>
    <border>
      <left style="double">
        <color indexed="0"/>
      </left>
      <right style="thin">
        <color indexed="0"/>
      </right>
      <top style="double">
        <color indexed="0"/>
      </top>
      <bottom style="double">
        <color indexed="0"/>
      </bottom>
      <diagonal/>
    </border>
    <border>
      <left style="thin">
        <color indexed="0"/>
      </left>
      <right style="double">
        <color indexed="0"/>
      </right>
      <top style="double">
        <color indexed="0"/>
      </top>
      <bottom style="double">
        <color indexed="0"/>
      </bottom>
      <diagonal/>
    </border>
    <border>
      <left/>
      <right style="thin">
        <color indexed="0"/>
      </right>
      <top style="double">
        <color indexed="0"/>
      </top>
      <bottom style="double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0"/>
      </right>
      <top/>
      <bottom style="medium">
        <color indexed="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0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0"/>
      </left>
      <right/>
      <top/>
      <bottom/>
      <diagonal/>
    </border>
    <border>
      <left style="medium">
        <color indexed="0"/>
      </left>
      <right/>
      <top style="thin">
        <color indexed="0"/>
      </top>
      <bottom style="double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double">
        <color indexed="0"/>
      </bottom>
      <diagonal/>
    </border>
    <border>
      <left style="medium">
        <color indexed="0"/>
      </left>
      <right/>
      <top/>
      <bottom style="hair">
        <color indexed="0"/>
      </bottom>
      <diagonal/>
    </border>
    <border>
      <left style="thin">
        <color indexed="0"/>
      </left>
      <right/>
      <top/>
      <bottom style="hair">
        <color indexed="0"/>
      </bottom>
      <diagonal/>
    </border>
    <border>
      <left/>
      <right/>
      <top style="medium">
        <color indexed="0"/>
      </top>
      <bottom/>
      <diagonal/>
    </border>
    <border>
      <left style="thin">
        <color indexed="0"/>
      </left>
      <right/>
      <top style="double">
        <color indexed="0"/>
      </top>
      <bottom style="double">
        <color indexed="0"/>
      </bottom>
      <diagonal/>
    </border>
    <border>
      <left style="double">
        <color indexed="0"/>
      </left>
      <right style="double">
        <color indexed="0"/>
      </right>
      <top style="double">
        <color indexed="0"/>
      </top>
      <bottom style="thin">
        <color indexed="0"/>
      </bottom>
      <diagonal/>
    </border>
    <border>
      <left style="double">
        <color indexed="0"/>
      </left>
      <right style="thin">
        <color indexed="0"/>
      </right>
      <top style="double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double">
        <color indexed="0"/>
      </top>
      <bottom style="thin">
        <color indexed="0"/>
      </bottom>
      <diagonal/>
    </border>
    <border>
      <left style="double">
        <color indexed="0"/>
      </left>
      <right style="double">
        <color indexed="0"/>
      </right>
      <top style="thin">
        <color indexed="0"/>
      </top>
      <bottom style="double">
        <color indexed="0"/>
      </bottom>
      <diagonal/>
    </border>
    <border>
      <left style="double">
        <color indexed="0"/>
      </left>
      <right style="double">
        <color indexed="0"/>
      </right>
      <top style="thin">
        <color indexed="0"/>
      </top>
      <bottom style="thin">
        <color indexed="0"/>
      </bottom>
      <diagonal/>
    </border>
    <border>
      <left style="double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double">
        <color indexed="0"/>
      </left>
      <right style="double">
        <color indexed="0"/>
      </right>
      <top style="double">
        <color indexed="0"/>
      </top>
      <bottom style="double">
        <color indexed="0"/>
      </bottom>
      <diagonal/>
    </border>
    <border>
      <left/>
      <right style="double">
        <color indexed="0"/>
      </right>
      <top style="double">
        <color indexed="0"/>
      </top>
      <bottom style="double">
        <color indexed="0"/>
      </bottom>
      <diagonal/>
    </border>
    <border>
      <left style="medium">
        <color indexed="0"/>
      </left>
      <right style="thin">
        <color indexed="0"/>
      </right>
      <top style="medium">
        <color indexed="0"/>
      </top>
      <bottom/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0"/>
      </left>
      <right/>
      <top style="medium">
        <color indexed="0"/>
      </top>
      <bottom/>
      <diagonal/>
    </border>
    <border>
      <left style="medium">
        <color indexed="0"/>
      </left>
      <right/>
      <top/>
      <bottom/>
      <diagonal/>
    </border>
    <border>
      <left style="medium">
        <color indexed="0"/>
      </left>
      <right/>
      <top/>
      <bottom style="medium">
        <color indexed="0"/>
      </bottom>
      <diagonal/>
    </border>
    <border>
      <left style="medium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medium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medium">
        <color indexed="0"/>
      </top>
      <bottom style="thin">
        <color indexed="0"/>
      </bottom>
      <diagonal/>
    </border>
    <border>
      <left/>
      <right/>
      <top style="medium">
        <color indexed="0"/>
      </top>
      <bottom style="thin">
        <color indexed="0"/>
      </bottom>
      <diagonal/>
    </border>
    <border>
      <left/>
      <right style="medium">
        <color indexed="0"/>
      </right>
      <top style="medium">
        <color indexed="0"/>
      </top>
      <bottom style="thin">
        <color indexed="0"/>
      </bottom>
      <diagonal/>
    </border>
    <border>
      <left style="medium">
        <color indexed="0"/>
      </left>
      <right style="thin">
        <color indexed="0"/>
      </right>
      <top/>
      <bottom/>
      <diagonal/>
    </border>
    <border>
      <left style="medium">
        <color indexed="0"/>
      </left>
      <right/>
      <top style="medium">
        <color indexed="0"/>
      </top>
      <bottom style="thin">
        <color indexed="0"/>
      </bottom>
      <diagonal/>
    </border>
    <border>
      <left/>
      <right style="thin">
        <color indexed="0"/>
      </right>
      <top style="medium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/>
      <top style="double">
        <color indexed="0"/>
      </top>
      <bottom style="double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double">
        <color indexed="0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double">
        <color indexed="0"/>
      </left>
      <right/>
      <top style="double">
        <color indexed="0"/>
      </top>
      <bottom style="thin">
        <color indexed="0"/>
      </bottom>
      <diagonal/>
    </border>
    <border>
      <left/>
      <right/>
      <top style="double">
        <color indexed="0"/>
      </top>
      <bottom style="thin">
        <color indexed="0"/>
      </bottom>
      <diagonal/>
    </border>
    <border>
      <left/>
      <right style="double">
        <color indexed="0"/>
      </right>
      <top style="double">
        <color indexed="0"/>
      </top>
      <bottom style="thin">
        <color indexed="0"/>
      </bottom>
      <diagonal/>
    </border>
    <border>
      <left/>
      <right style="double">
        <color indexed="0"/>
      </right>
      <top style="thin">
        <color indexed="0"/>
      </top>
      <bottom style="thin">
        <color indexed="0"/>
      </bottom>
      <diagonal/>
    </border>
    <border>
      <left style="double">
        <color indexed="0"/>
      </left>
      <right/>
      <top style="thin">
        <color indexed="0"/>
      </top>
      <bottom style="double">
        <color indexed="0"/>
      </bottom>
      <diagonal/>
    </border>
    <border>
      <left/>
      <right style="double">
        <color indexed="0"/>
      </right>
      <top style="thin">
        <color indexed="0"/>
      </top>
      <bottom style="double">
        <color indexed="0"/>
      </bottom>
      <diagonal/>
    </border>
    <border>
      <left style="thin">
        <color indexed="0"/>
      </left>
      <right/>
      <top style="thin">
        <color indexed="0"/>
      </top>
      <bottom style="double">
        <color indexed="0"/>
      </bottom>
      <diagonal/>
    </border>
    <border>
      <left/>
      <right/>
      <top style="thin">
        <color indexed="0"/>
      </top>
      <bottom style="double">
        <color indexed="0"/>
      </bottom>
      <diagonal/>
    </border>
    <border>
      <left/>
      <right style="medium">
        <color indexed="0"/>
      </right>
      <top style="thin">
        <color indexed="0"/>
      </top>
      <bottom style="double">
        <color indexed="0"/>
      </bottom>
      <diagonal/>
    </border>
    <border>
      <left/>
      <right/>
      <top/>
      <bottom style="hair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double">
        <color indexed="0"/>
      </top>
      <bottom style="thin">
        <color indexed="0"/>
      </bottom>
      <diagonal/>
    </border>
    <border>
      <left/>
      <right style="medium">
        <color indexed="0"/>
      </right>
      <top style="double">
        <color indexed="0"/>
      </top>
      <bottom style="thin">
        <color indexed="0"/>
      </bottom>
      <diagonal/>
    </border>
    <border>
      <left style="double">
        <color indexed="0"/>
      </left>
      <right/>
      <top style="double">
        <color indexed="0"/>
      </top>
      <bottom/>
      <diagonal/>
    </border>
    <border>
      <left/>
      <right style="double">
        <color indexed="0"/>
      </right>
      <top style="double">
        <color indexed="0"/>
      </top>
      <bottom/>
      <diagonal/>
    </border>
    <border>
      <left style="double">
        <color indexed="0"/>
      </left>
      <right/>
      <top/>
      <bottom style="double">
        <color indexed="0"/>
      </bottom>
      <diagonal/>
    </border>
    <border>
      <left/>
      <right style="double">
        <color indexed="0"/>
      </right>
      <top/>
      <bottom style="double">
        <color indexed="0"/>
      </bottom>
      <diagonal/>
    </border>
    <border>
      <left style="double">
        <color indexed="0"/>
      </left>
      <right style="double">
        <color indexed="0"/>
      </right>
      <top style="double">
        <color indexed="0"/>
      </top>
      <bottom/>
      <diagonal/>
    </border>
    <border>
      <left style="double">
        <color indexed="0"/>
      </left>
      <right style="double">
        <color indexed="0"/>
      </right>
      <top/>
      <bottom style="double">
        <color indexed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/>
      <right style="medium">
        <color rgb="FF969696"/>
      </right>
      <top style="medium">
        <color rgb="FF969696"/>
      </top>
      <bottom style="medium">
        <color rgb="FF969696"/>
      </bottom>
      <diagonal/>
    </border>
  </borders>
  <cellStyleXfs count="56">
    <xf numFmtId="0" fontId="0" fillId="0" borderId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9" fillId="26" borderId="86" applyNumberFormat="0" applyAlignment="0" applyProtection="0"/>
    <xf numFmtId="0" fontId="20" fillId="27" borderId="87" applyNumberFormat="0" applyAlignment="0" applyProtection="0"/>
    <xf numFmtId="0" fontId="21" fillId="27" borderId="86" applyNumberFormat="0" applyAlignment="0" applyProtection="0"/>
    <xf numFmtId="0" fontId="22" fillId="0" borderId="88" applyNumberFormat="0" applyFill="0" applyAlignment="0" applyProtection="0"/>
    <xf numFmtId="0" fontId="23" fillId="0" borderId="89" applyNumberFormat="0" applyFill="0" applyAlignment="0" applyProtection="0"/>
    <xf numFmtId="0" fontId="24" fillId="0" borderId="90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91" applyNumberFormat="0" applyFill="0" applyAlignment="0" applyProtection="0"/>
    <xf numFmtId="0" fontId="26" fillId="28" borderId="92" applyNumberFormat="0" applyAlignment="0" applyProtection="0"/>
    <xf numFmtId="0" fontId="27" fillId="0" borderId="0" applyNumberFormat="0" applyFill="0" applyBorder="0" applyAlignment="0" applyProtection="0"/>
    <xf numFmtId="0" fontId="28" fillId="29" borderId="0" applyNumberFormat="0" applyBorder="0" applyAlignment="0" applyProtection="0"/>
    <xf numFmtId="0" fontId="16" fillId="0" borderId="0"/>
    <xf numFmtId="0" fontId="29" fillId="30" borderId="0" applyNumberFormat="0" applyBorder="0" applyAlignment="0" applyProtection="0"/>
    <xf numFmtId="0" fontId="30" fillId="0" borderId="0" applyNumberFormat="0" applyFill="0" applyBorder="0" applyAlignment="0" applyProtection="0"/>
    <xf numFmtId="0" fontId="17" fillId="31" borderId="93" applyNumberFormat="0" applyFont="0" applyAlignment="0" applyProtection="0"/>
    <xf numFmtId="0" fontId="17" fillId="31" borderId="93" applyNumberFormat="0" applyFont="0" applyAlignment="0" applyProtection="0"/>
    <xf numFmtId="0" fontId="31" fillId="0" borderId="94" applyNumberFormat="0" applyFill="0" applyAlignment="0" applyProtection="0"/>
    <xf numFmtId="0" fontId="32" fillId="0" borderId="0" applyNumberFormat="0" applyFill="0" applyBorder="0" applyAlignment="0" applyProtection="0"/>
    <xf numFmtId="0" fontId="33" fillId="32" borderId="0" applyNumberFormat="0" applyBorder="0" applyAlignment="0" applyProtection="0"/>
  </cellStyleXfs>
  <cellXfs count="222">
    <xf numFmtId="0" fontId="0" fillId="0" borderId="0" xfId="0"/>
    <xf numFmtId="0" fontId="0" fillId="0" borderId="0" xfId="0" applyAlignment="1" applyProtection="1">
      <alignment vertical="center" wrapText="1"/>
    </xf>
    <xf numFmtId="0" fontId="2" fillId="0" borderId="0" xfId="0" applyFont="1" applyBorder="1" applyAlignment="1" applyProtection="1">
      <alignment vertical="center" wrapText="1"/>
    </xf>
    <xf numFmtId="0" fontId="2" fillId="0" borderId="0" xfId="0" applyFont="1" applyBorder="1" applyAlignment="1" applyProtection="1">
      <alignment vertical="center"/>
    </xf>
    <xf numFmtId="4" fontId="2" fillId="0" borderId="0" xfId="0" applyNumberFormat="1" applyFont="1" applyBorder="1" applyAlignment="1" applyProtection="1">
      <alignment vertical="center"/>
    </xf>
    <xf numFmtId="0" fontId="2" fillId="0" borderId="1" xfId="0" applyFont="1" applyBorder="1" applyAlignment="1" applyProtection="1">
      <alignment horizontal="center" vertical="center"/>
    </xf>
    <xf numFmtId="164" fontId="2" fillId="0" borderId="0" xfId="0" applyNumberFormat="1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5" fillId="0" borderId="95" xfId="0" applyFont="1" applyBorder="1" applyAlignment="1">
      <alignment vertical="center" wrapText="1"/>
    </xf>
    <xf numFmtId="0" fontId="8" fillId="0" borderId="96" xfId="0" applyFont="1" applyBorder="1" applyAlignment="1">
      <alignment vertical="center" wrapText="1"/>
    </xf>
    <xf numFmtId="0" fontId="5" fillId="0" borderId="96" xfId="0" applyFont="1" applyBorder="1" applyAlignment="1">
      <alignment vertical="center" wrapText="1"/>
    </xf>
    <xf numFmtId="0" fontId="5" fillId="0" borderId="0" xfId="0" applyFont="1"/>
    <xf numFmtId="0" fontId="3" fillId="33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wrapText="1"/>
    </xf>
    <xf numFmtId="0" fontId="4" fillId="0" borderId="4" xfId="0" applyFont="1" applyBorder="1" applyAlignment="1" applyProtection="1">
      <alignment horizontal="center" wrapText="1"/>
    </xf>
    <xf numFmtId="0" fontId="10" fillId="0" borderId="4" xfId="0" applyFont="1" applyBorder="1" applyAlignment="1" applyProtection="1">
      <alignment horizontal="center" wrapText="1"/>
    </xf>
    <xf numFmtId="0" fontId="9" fillId="0" borderId="0" xfId="0" applyFont="1" applyAlignment="1">
      <alignment horizontal="left" vertical="center" wrapText="1"/>
    </xf>
    <xf numFmtId="0" fontId="7" fillId="0" borderId="0" xfId="0" applyFont="1" applyFill="1" applyBorder="1" applyAlignment="1" applyProtection="1">
      <alignment horizontal="center" vertical="center"/>
    </xf>
    <xf numFmtId="0" fontId="2" fillId="34" borderId="5" xfId="0" applyFont="1" applyFill="1" applyBorder="1" applyAlignment="1">
      <alignment vertical="center" wrapText="1"/>
    </xf>
    <xf numFmtId="164" fontId="10" fillId="34" borderId="6" xfId="0" applyNumberFormat="1" applyFont="1" applyFill="1" applyBorder="1" applyAlignment="1" applyProtection="1">
      <alignment horizontal="center" vertical="center" wrapText="1"/>
    </xf>
    <xf numFmtId="2" fontId="2" fillId="0" borderId="0" xfId="0" applyNumberFormat="1" applyFont="1" applyBorder="1" applyAlignment="1" applyProtection="1">
      <alignment vertical="center"/>
    </xf>
    <xf numFmtId="0" fontId="2" fillId="33" borderId="9" xfId="0" applyFont="1" applyFill="1" applyBorder="1" applyAlignment="1" applyProtection="1">
      <alignment horizontal="left" wrapText="1"/>
      <protection locked="0"/>
    </xf>
    <xf numFmtId="164" fontId="10" fillId="34" borderId="13" xfId="0" applyNumberFormat="1" applyFont="1" applyFill="1" applyBorder="1" applyAlignment="1" applyProtection="1">
      <alignment horizontal="center" vertical="center" wrapText="1"/>
    </xf>
    <xf numFmtId="0" fontId="10" fillId="0" borderId="14" xfId="0" applyFont="1" applyBorder="1" applyAlignment="1" applyProtection="1">
      <alignment horizontal="center" wrapText="1"/>
    </xf>
    <xf numFmtId="164" fontId="10" fillId="34" borderId="15" xfId="0" applyNumberFormat="1" applyFont="1" applyFill="1" applyBorder="1" applyAlignment="1" applyProtection="1">
      <alignment horizontal="center" vertical="center" wrapText="1"/>
    </xf>
    <xf numFmtId="0" fontId="10" fillId="0" borderId="16" xfId="0" applyFont="1" applyBorder="1" applyAlignment="1" applyProtection="1">
      <alignment horizontal="center" wrapText="1"/>
    </xf>
    <xf numFmtId="0" fontId="4" fillId="0" borderId="17" xfId="0" applyFont="1" applyBorder="1" applyAlignment="1">
      <alignment horizontal="center" vertical="center" wrapText="1"/>
    </xf>
    <xf numFmtId="164" fontId="10" fillId="34" borderId="18" xfId="0" applyNumberFormat="1" applyFont="1" applyFill="1" applyBorder="1" applyAlignment="1" applyProtection="1">
      <alignment horizontal="center" vertical="center" wrapText="1"/>
    </xf>
    <xf numFmtId="164" fontId="10" fillId="0" borderId="19" xfId="0" applyNumberFormat="1" applyFont="1" applyFill="1" applyBorder="1" applyAlignment="1" applyProtection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" fillId="34" borderId="21" xfId="0" applyFont="1" applyFill="1" applyBorder="1" applyAlignment="1">
      <alignment vertical="center" wrapText="1"/>
    </xf>
    <xf numFmtId="0" fontId="4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 applyProtection="1">
      <alignment horizontal="center" wrapText="1"/>
    </xf>
    <xf numFmtId="0" fontId="10" fillId="0" borderId="19" xfId="0" applyFont="1" applyBorder="1" applyAlignment="1" applyProtection="1">
      <alignment horizontal="center" wrapText="1"/>
    </xf>
    <xf numFmtId="0" fontId="10" fillId="0" borderId="24" xfId="0" applyFont="1" applyBorder="1" applyAlignment="1" applyProtection="1">
      <alignment horizontal="center" wrapText="1"/>
    </xf>
    <xf numFmtId="164" fontId="10" fillId="34" borderId="25" xfId="0" applyNumberFormat="1" applyFont="1" applyFill="1" applyBorder="1" applyAlignment="1" applyProtection="1">
      <alignment horizontal="center" vertical="center" wrapText="1"/>
    </xf>
    <xf numFmtId="164" fontId="10" fillId="0" borderId="16" xfId="0" applyNumberFormat="1" applyFont="1" applyFill="1" applyBorder="1" applyAlignment="1" applyProtection="1">
      <alignment horizontal="center" vertical="center" wrapText="1"/>
    </xf>
    <xf numFmtId="164" fontId="10" fillId="34" borderId="26" xfId="0" applyNumberFormat="1" applyFont="1" applyFill="1" applyBorder="1" applyAlignment="1" applyProtection="1">
      <alignment horizontal="center" vertical="center" wrapText="1"/>
    </xf>
    <xf numFmtId="0" fontId="10" fillId="0" borderId="27" xfId="0" applyFont="1" applyBorder="1" applyAlignment="1" applyProtection="1">
      <alignment horizontal="center" wrapText="1"/>
    </xf>
    <xf numFmtId="164" fontId="2" fillId="0" borderId="0" xfId="0" applyNumberFormat="1" applyFont="1" applyBorder="1" applyAlignment="1" applyProtection="1">
      <alignment horizontal="center" vertical="center"/>
    </xf>
    <xf numFmtId="4" fontId="2" fillId="0" borderId="0" xfId="0" applyNumberFormat="1" applyFont="1" applyBorder="1" applyAlignment="1" applyProtection="1">
      <alignment vertical="center" wrapText="1"/>
    </xf>
    <xf numFmtId="0" fontId="4" fillId="0" borderId="0" xfId="0" applyFont="1" applyAlignment="1" applyProtection="1">
      <alignment horizontal="center" vertical="center" wrapText="1"/>
    </xf>
    <xf numFmtId="2" fontId="2" fillId="0" borderId="0" xfId="0" applyNumberFormat="1" applyFont="1" applyBorder="1" applyAlignment="1" applyProtection="1">
      <alignment vertical="center" wrapText="1"/>
    </xf>
    <xf numFmtId="0" fontId="1" fillId="0" borderId="0" xfId="0" applyFont="1" applyBorder="1" applyAlignment="1" applyProtection="1">
      <alignment vertical="center"/>
    </xf>
    <xf numFmtId="164" fontId="2" fillId="0" borderId="0" xfId="0" applyNumberFormat="1" applyFont="1" applyBorder="1" applyAlignment="1" applyProtection="1">
      <alignment vertical="center"/>
    </xf>
    <xf numFmtId="0" fontId="1" fillId="0" borderId="28" xfId="0" applyFont="1" applyFill="1" applyBorder="1" applyAlignment="1" applyProtection="1">
      <alignment vertical="center"/>
    </xf>
    <xf numFmtId="4" fontId="2" fillId="0" borderId="0" xfId="0" applyNumberFormat="1" applyFont="1" applyBorder="1" applyAlignment="1" applyProtection="1">
      <alignment horizontal="right" vertical="center" wrapText="1" indent="1"/>
    </xf>
    <xf numFmtId="4" fontId="2" fillId="0" borderId="0" xfId="0" applyNumberFormat="1" applyFont="1" applyBorder="1" applyAlignment="1" applyProtection="1">
      <alignment horizontal="right" vertical="center" wrapText="1"/>
    </xf>
    <xf numFmtId="0" fontId="2" fillId="0" borderId="29" xfId="0" applyFont="1" applyBorder="1" applyAlignment="1" applyProtection="1">
      <alignment horizontal="center" vertical="center" wrapText="1"/>
    </xf>
    <xf numFmtId="0" fontId="2" fillId="0" borderId="30" xfId="0" applyFont="1" applyBorder="1" applyAlignment="1" applyProtection="1">
      <alignment horizontal="center" vertical="center" wrapText="1"/>
    </xf>
    <xf numFmtId="0" fontId="2" fillId="0" borderId="31" xfId="0" applyFont="1" applyBorder="1" applyAlignment="1" applyProtection="1">
      <alignment horizontal="center" vertical="center" wrapText="1"/>
    </xf>
    <xf numFmtId="0" fontId="2" fillId="0" borderId="33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1" fillId="0" borderId="34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4" fontId="1" fillId="36" borderId="35" xfId="0" applyNumberFormat="1" applyFont="1" applyFill="1" applyBorder="1" applyAlignment="1" applyProtection="1">
      <alignment horizontal="center" vertical="center" wrapText="1"/>
    </xf>
    <xf numFmtId="4" fontId="2" fillId="36" borderId="36" xfId="0" applyNumberFormat="1" applyFont="1" applyFill="1" applyBorder="1" applyAlignment="1" applyProtection="1">
      <alignment horizontal="center" vertical="center" wrapText="1"/>
    </xf>
    <xf numFmtId="4" fontId="2" fillId="36" borderId="37" xfId="0" applyNumberFormat="1" applyFont="1" applyFill="1" applyBorder="1" applyAlignment="1" applyProtection="1">
      <alignment horizontal="center" vertical="center" wrapText="1"/>
    </xf>
    <xf numFmtId="4" fontId="1" fillId="33" borderId="38" xfId="0" applyNumberFormat="1" applyFont="1" applyFill="1" applyBorder="1" applyAlignment="1" applyProtection="1">
      <alignment horizontal="center" vertical="center" wrapText="1"/>
    </xf>
    <xf numFmtId="4" fontId="1" fillId="37" borderId="10" xfId="0" applyNumberFormat="1" applyFont="1" applyFill="1" applyBorder="1" applyAlignment="1" applyProtection="1">
      <alignment horizontal="center" vertical="center" wrapText="1"/>
      <protection locked="0"/>
    </xf>
    <xf numFmtId="4" fontId="1" fillId="37" borderId="8" xfId="0" applyNumberFormat="1" applyFont="1" applyFill="1" applyBorder="1" applyAlignment="1" applyProtection="1">
      <alignment horizontal="center" vertical="center" wrapText="1"/>
      <protection locked="0"/>
    </xf>
    <xf numFmtId="4" fontId="2" fillId="0" borderId="39" xfId="0" applyNumberFormat="1" applyFont="1" applyBorder="1" applyAlignment="1" applyProtection="1">
      <alignment horizontal="center" vertical="center" wrapText="1"/>
    </xf>
    <xf numFmtId="0" fontId="2" fillId="33" borderId="40" xfId="0" applyFont="1" applyFill="1" applyBorder="1" applyAlignment="1" applyProtection="1">
      <alignment horizontal="center" vertical="center" wrapText="1"/>
      <protection locked="0"/>
    </xf>
    <xf numFmtId="0" fontId="2" fillId="33" borderId="41" xfId="0" applyFont="1" applyFill="1" applyBorder="1" applyAlignment="1" applyProtection="1">
      <alignment horizontal="center" vertical="center" wrapText="1"/>
      <protection locked="0"/>
    </xf>
    <xf numFmtId="4" fontId="1" fillId="38" borderId="38" xfId="0" applyNumberFormat="1" applyFont="1" applyFill="1" applyBorder="1" applyAlignment="1" applyProtection="1">
      <alignment horizontal="center" vertical="center" wrapText="1"/>
    </xf>
    <xf numFmtId="4" fontId="1" fillId="38" borderId="10" xfId="0" applyNumberFormat="1" applyFont="1" applyFill="1" applyBorder="1" applyAlignment="1" applyProtection="1">
      <alignment horizontal="center" vertical="center" wrapText="1"/>
      <protection locked="0"/>
    </xf>
    <xf numFmtId="4" fontId="1" fillId="38" borderId="8" xfId="0" applyNumberFormat="1" applyFont="1" applyFill="1" applyBorder="1" applyAlignment="1" applyProtection="1">
      <alignment horizontal="center" vertical="center" wrapText="1"/>
      <protection locked="0"/>
    </xf>
    <xf numFmtId="2" fontId="0" fillId="0" borderId="0" xfId="0" applyNumberFormat="1" applyAlignment="1" applyProtection="1">
      <alignment vertical="center" wrapText="1"/>
    </xf>
    <xf numFmtId="2" fontId="13" fillId="39" borderId="10" xfId="0" applyNumberFormat="1" applyFont="1" applyFill="1" applyBorder="1" applyAlignment="1" applyProtection="1">
      <alignment horizontal="center" vertical="center" wrapText="1"/>
    </xf>
    <xf numFmtId="2" fontId="13" fillId="39" borderId="11" xfId="0" applyNumberFormat="1" applyFont="1" applyFill="1" applyBorder="1" applyAlignment="1" applyProtection="1">
      <alignment horizontal="center" vertical="center" wrapText="1"/>
    </xf>
    <xf numFmtId="0" fontId="2" fillId="39" borderId="42" xfId="0" applyFont="1" applyFill="1" applyBorder="1" applyAlignment="1" applyProtection="1">
      <alignment horizontal="center" vertical="center" wrapText="1"/>
    </xf>
    <xf numFmtId="0" fontId="2" fillId="39" borderId="10" xfId="0" applyFont="1" applyFill="1" applyBorder="1" applyAlignment="1" applyProtection="1">
      <alignment horizontal="center" vertical="center" wrapText="1"/>
    </xf>
    <xf numFmtId="0" fontId="2" fillId="39" borderId="43" xfId="0" applyFont="1" applyFill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right" vertical="center"/>
    </xf>
    <xf numFmtId="0" fontId="3" fillId="33" borderId="2" xfId="0" applyFont="1" applyFill="1" applyBorder="1" applyAlignment="1">
      <alignment horizontal="center" vertical="center" wrapText="1"/>
    </xf>
    <xf numFmtId="0" fontId="3" fillId="33" borderId="44" xfId="0" applyFont="1" applyFill="1" applyBorder="1" applyAlignment="1">
      <alignment horizontal="center" vertical="center" wrapText="1"/>
    </xf>
    <xf numFmtId="0" fontId="10" fillId="0" borderId="45" xfId="0" applyFont="1" applyBorder="1" applyAlignment="1" applyProtection="1">
      <alignment horizontal="center" wrapText="1"/>
    </xf>
    <xf numFmtId="0" fontId="2" fillId="34" borderId="46" xfId="0" applyFont="1" applyFill="1" applyBorder="1" applyAlignment="1">
      <alignment vertical="center" wrapText="1"/>
    </xf>
    <xf numFmtId="164" fontId="10" fillId="34" borderId="47" xfId="0" applyNumberFormat="1" applyFont="1" applyFill="1" applyBorder="1" applyAlignment="1" applyProtection="1">
      <alignment horizontal="center" vertical="center" wrapText="1"/>
    </xf>
    <xf numFmtId="164" fontId="10" fillId="34" borderId="48" xfId="0" applyNumberFormat="1" applyFont="1" applyFill="1" applyBorder="1" applyAlignment="1" applyProtection="1">
      <alignment horizontal="center" vertical="center" wrapText="1"/>
    </xf>
    <xf numFmtId="0" fontId="4" fillId="0" borderId="17" xfId="0" applyFont="1" applyBorder="1" applyAlignment="1" applyProtection="1">
      <alignment horizontal="center" wrapText="1"/>
    </xf>
    <xf numFmtId="0" fontId="4" fillId="0" borderId="22" xfId="0" applyFont="1" applyBorder="1" applyAlignment="1" applyProtection="1">
      <alignment horizontal="center" wrapText="1"/>
    </xf>
    <xf numFmtId="0" fontId="3" fillId="33" borderId="44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vertical="center" wrapText="1"/>
    </xf>
    <xf numFmtId="0" fontId="2" fillId="0" borderId="0" xfId="0" applyFont="1"/>
    <xf numFmtId="0" fontId="10" fillId="0" borderId="0" xfId="0" applyFont="1" applyBorder="1" applyAlignment="1" applyProtection="1">
      <alignment horizontal="center" wrapText="1"/>
    </xf>
    <xf numFmtId="0" fontId="1" fillId="0" borderId="19" xfId="0" applyFont="1" applyBorder="1" applyAlignment="1">
      <alignment vertical="center" wrapText="1"/>
    </xf>
    <xf numFmtId="0" fontId="4" fillId="0" borderId="19" xfId="0" applyFont="1" applyBorder="1" applyAlignment="1" applyProtection="1">
      <alignment horizontal="center" wrapText="1"/>
    </xf>
    <xf numFmtId="0" fontId="7" fillId="40" borderId="10" xfId="0" applyFont="1" applyFill="1" applyBorder="1" applyAlignment="1" applyProtection="1">
      <alignment horizontal="center" vertical="center" wrapText="1"/>
    </xf>
    <xf numFmtId="0" fontId="7" fillId="40" borderId="8" xfId="0" applyFont="1" applyFill="1" applyBorder="1" applyAlignment="1" applyProtection="1">
      <alignment horizontal="center" vertical="center" wrapText="1"/>
    </xf>
    <xf numFmtId="4" fontId="2" fillId="0" borderId="32" xfId="0" applyNumberFormat="1" applyFont="1" applyBorder="1" applyAlignment="1" applyProtection="1">
      <alignment horizontal="right" vertical="center" wrapText="1" indent="1"/>
    </xf>
    <xf numFmtId="4" fontId="2" fillId="0" borderId="76" xfId="0" applyNumberFormat="1" applyFont="1" applyBorder="1" applyAlignment="1" applyProtection="1">
      <alignment horizontal="right" vertical="center" wrapText="1" indent="1"/>
    </xf>
    <xf numFmtId="4" fontId="14" fillId="0" borderId="63" xfId="0" applyNumberFormat="1" applyFont="1" applyBorder="1" applyAlignment="1" applyProtection="1">
      <alignment horizontal="center" vertical="center" wrapText="1"/>
    </xf>
    <xf numFmtId="4" fontId="14" fillId="0" borderId="65" xfId="0" applyNumberFormat="1" applyFont="1" applyBorder="1" applyAlignment="1" applyProtection="1">
      <alignment horizontal="center" vertical="center" wrapText="1"/>
    </xf>
    <xf numFmtId="4" fontId="14" fillId="0" borderId="77" xfId="0" applyNumberFormat="1" applyFont="1" applyBorder="1" applyAlignment="1" applyProtection="1">
      <alignment horizontal="center" vertical="center" wrapText="1"/>
    </xf>
    <xf numFmtId="0" fontId="2" fillId="0" borderId="78" xfId="0" applyFont="1" applyBorder="1" applyAlignment="1" applyProtection="1">
      <alignment horizontal="left" vertical="center" wrapText="1"/>
    </xf>
    <xf numFmtId="0" fontId="2" fillId="0" borderId="68" xfId="0" applyFont="1" applyBorder="1" applyAlignment="1" applyProtection="1">
      <alignment horizontal="left" vertical="center" wrapText="1"/>
    </xf>
    <xf numFmtId="0" fontId="2" fillId="0" borderId="79" xfId="0" applyFont="1" applyBorder="1" applyAlignment="1" applyProtection="1">
      <alignment horizontal="left" vertical="center" wrapText="1"/>
    </xf>
    <xf numFmtId="4" fontId="2" fillId="33" borderId="63" xfId="0" applyNumberFormat="1" applyFont="1" applyFill="1" applyBorder="1" applyAlignment="1" applyProtection="1">
      <alignment horizontal="right" vertical="center" wrapText="1" indent="1"/>
    </xf>
    <xf numFmtId="4" fontId="2" fillId="33" borderId="64" xfId="0" applyNumberFormat="1" applyFont="1" applyFill="1" applyBorder="1" applyAlignment="1" applyProtection="1">
      <alignment horizontal="right" vertical="center" wrapText="1" indent="1"/>
    </xf>
    <xf numFmtId="4" fontId="2" fillId="0" borderId="32" xfId="0" applyNumberFormat="1" applyFont="1" applyBorder="1" applyAlignment="1" applyProtection="1">
      <alignment horizontal="right" vertical="center" wrapText="1" indent="1"/>
    </xf>
    <xf numFmtId="4" fontId="2" fillId="0" borderId="76" xfId="0" applyNumberFormat="1" applyFont="1" applyBorder="1" applyAlignment="1" applyProtection="1">
      <alignment horizontal="right" vertical="center" wrapText="1" indent="1"/>
    </xf>
    <xf numFmtId="4" fontId="14" fillId="0" borderId="63" xfId="0" applyNumberFormat="1" applyFont="1" applyBorder="1" applyAlignment="1" applyProtection="1">
      <alignment horizontal="center" vertical="center" wrapText="1"/>
    </xf>
    <xf numFmtId="4" fontId="14" fillId="0" borderId="65" xfId="0" applyNumberFormat="1" applyFont="1" applyBorder="1" applyAlignment="1" applyProtection="1">
      <alignment horizontal="center" vertical="center" wrapText="1"/>
    </xf>
    <xf numFmtId="4" fontId="14" fillId="0" borderId="77" xfId="0" applyNumberFormat="1" applyFont="1" applyBorder="1" applyAlignment="1" applyProtection="1">
      <alignment horizontal="center" vertical="center" wrapText="1"/>
    </xf>
    <xf numFmtId="0" fontId="2" fillId="0" borderId="78" xfId="0" applyFont="1" applyBorder="1" applyAlignment="1" applyProtection="1">
      <alignment horizontal="left" vertical="center" wrapText="1"/>
    </xf>
    <xf numFmtId="0" fontId="2" fillId="0" borderId="68" xfId="0" applyFont="1" applyBorder="1" applyAlignment="1" applyProtection="1">
      <alignment horizontal="left" vertical="center" wrapText="1"/>
    </xf>
    <xf numFmtId="0" fontId="2" fillId="0" borderId="79" xfId="0" applyFont="1" applyBorder="1" applyAlignment="1" applyProtection="1">
      <alignment horizontal="left" vertical="center" wrapText="1"/>
    </xf>
    <xf numFmtId="4" fontId="2" fillId="33" borderId="63" xfId="0" applyNumberFormat="1" applyFont="1" applyFill="1" applyBorder="1" applyAlignment="1" applyProtection="1">
      <alignment horizontal="right" vertical="center" wrapText="1" indent="1"/>
    </xf>
    <xf numFmtId="4" fontId="2" fillId="33" borderId="64" xfId="0" applyNumberFormat="1" applyFont="1" applyFill="1" applyBorder="1" applyAlignment="1" applyProtection="1">
      <alignment horizontal="right" vertical="center" wrapText="1" indent="1"/>
    </xf>
    <xf numFmtId="4" fontId="2" fillId="0" borderId="32" xfId="0" applyNumberFormat="1" applyFont="1" applyBorder="1" applyAlignment="1" applyProtection="1">
      <alignment horizontal="right" vertical="center" wrapText="1" indent="1"/>
    </xf>
    <xf numFmtId="4" fontId="2" fillId="0" borderId="76" xfId="0" applyNumberFormat="1" applyFont="1" applyBorder="1" applyAlignment="1" applyProtection="1">
      <alignment horizontal="right" vertical="center" wrapText="1" indent="1"/>
    </xf>
    <xf numFmtId="4" fontId="14" fillId="0" borderId="63" xfId="0" applyNumberFormat="1" applyFont="1" applyBorder="1" applyAlignment="1" applyProtection="1">
      <alignment horizontal="center" vertical="center" wrapText="1"/>
    </xf>
    <xf numFmtId="4" fontId="14" fillId="0" borderId="65" xfId="0" applyNumberFormat="1" applyFont="1" applyBorder="1" applyAlignment="1" applyProtection="1">
      <alignment horizontal="center" vertical="center" wrapText="1"/>
    </xf>
    <xf numFmtId="4" fontId="14" fillId="0" borderId="77" xfId="0" applyNumberFormat="1" applyFont="1" applyBorder="1" applyAlignment="1" applyProtection="1">
      <alignment horizontal="center" vertical="center" wrapText="1"/>
    </xf>
    <xf numFmtId="0" fontId="2" fillId="0" borderId="78" xfId="0" applyFont="1" applyBorder="1" applyAlignment="1" applyProtection="1">
      <alignment horizontal="left" vertical="center" wrapText="1"/>
    </xf>
    <xf numFmtId="0" fontId="2" fillId="0" borderId="68" xfId="0" applyFont="1" applyBorder="1" applyAlignment="1" applyProtection="1">
      <alignment horizontal="left" vertical="center" wrapText="1"/>
    </xf>
    <xf numFmtId="0" fontId="2" fillId="0" borderId="79" xfId="0" applyFont="1" applyBorder="1" applyAlignment="1" applyProtection="1">
      <alignment horizontal="left" vertical="center" wrapText="1"/>
    </xf>
    <xf numFmtId="0" fontId="7" fillId="0" borderId="34" xfId="0" applyFont="1" applyBorder="1" applyAlignment="1" applyProtection="1">
      <alignment horizontal="center" vertical="center" wrapText="1"/>
    </xf>
    <xf numFmtId="0" fontId="7" fillId="0" borderId="8" xfId="0" applyFont="1" applyBorder="1" applyAlignment="1" applyProtection="1">
      <alignment horizontal="center" vertical="center" wrapText="1"/>
    </xf>
    <xf numFmtId="0" fontId="1" fillId="0" borderId="62" xfId="0" applyFont="1" applyBorder="1" applyAlignment="1" applyProtection="1">
      <alignment vertical="center" wrapText="1"/>
    </xf>
    <xf numFmtId="0" fontId="1" fillId="0" borderId="43" xfId="0" applyFont="1" applyBorder="1" applyAlignment="1" applyProtection="1">
      <alignment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9" fillId="0" borderId="61" xfId="0" applyFont="1" applyBorder="1" applyAlignment="1">
      <alignment horizontal="left" vertical="center" wrapText="1"/>
    </xf>
    <xf numFmtId="0" fontId="4" fillId="0" borderId="0" xfId="0" applyFont="1" applyAlignment="1" applyProtection="1">
      <alignment horizontal="center" wrapText="1"/>
    </xf>
    <xf numFmtId="0" fontId="3" fillId="0" borderId="0" xfId="0" applyFont="1" applyAlignment="1" applyProtection="1">
      <alignment horizontal="left" vertical="center" wrapText="1"/>
    </xf>
    <xf numFmtId="0" fontId="3" fillId="33" borderId="44" xfId="0" applyFont="1" applyFill="1" applyBorder="1" applyAlignment="1">
      <alignment horizontal="center" vertical="center" wrapText="1"/>
    </xf>
    <xf numFmtId="0" fontId="3" fillId="33" borderId="52" xfId="0" applyFont="1" applyFill="1" applyBorder="1" applyAlignment="1">
      <alignment horizontal="center" vertical="center" wrapText="1"/>
    </xf>
    <xf numFmtId="0" fontId="3" fillId="33" borderId="53" xfId="0" applyFont="1" applyFill="1" applyBorder="1" applyAlignment="1">
      <alignment horizontal="center" vertical="center" wrapText="1"/>
    </xf>
    <xf numFmtId="0" fontId="3" fillId="33" borderId="54" xfId="0" applyFont="1" applyFill="1" applyBorder="1" applyAlignment="1">
      <alignment horizontal="center" vertical="center" wrapText="1"/>
    </xf>
    <xf numFmtId="0" fontId="6" fillId="33" borderId="55" xfId="0" applyFont="1" applyFill="1" applyBorder="1" applyAlignment="1">
      <alignment horizontal="center" wrapText="1"/>
    </xf>
    <xf numFmtId="0" fontId="6" fillId="33" borderId="56" xfId="0" applyFont="1" applyFill="1" applyBorder="1" applyAlignment="1">
      <alignment horizontal="center" wrapText="1"/>
    </xf>
    <xf numFmtId="0" fontId="6" fillId="33" borderId="57" xfId="0" applyFont="1" applyFill="1" applyBorder="1" applyAlignment="1">
      <alignment horizontal="center" wrapText="1"/>
    </xf>
    <xf numFmtId="0" fontId="3" fillId="33" borderId="58" xfId="0" applyFont="1" applyFill="1" applyBorder="1" applyAlignment="1">
      <alignment horizontal="center" vertical="center" wrapText="1"/>
    </xf>
    <xf numFmtId="0" fontId="3" fillId="33" borderId="59" xfId="0" applyFont="1" applyFill="1" applyBorder="1" applyAlignment="1">
      <alignment horizontal="center" vertical="center" wrapText="1"/>
    </xf>
    <xf numFmtId="0" fontId="3" fillId="33" borderId="56" xfId="0" applyFont="1" applyFill="1" applyBorder="1" applyAlignment="1">
      <alignment horizontal="center" vertical="center" wrapText="1"/>
    </xf>
    <xf numFmtId="0" fontId="3" fillId="33" borderId="60" xfId="0" applyFont="1" applyFill="1" applyBorder="1" applyAlignment="1">
      <alignment horizontal="center" vertical="center" wrapText="1"/>
    </xf>
    <xf numFmtId="2" fontId="1" fillId="38" borderId="71" xfId="0" applyNumberFormat="1" applyFont="1" applyFill="1" applyBorder="1" applyAlignment="1" applyProtection="1">
      <alignment horizontal="left" vertical="center" wrapText="1"/>
    </xf>
    <xf numFmtId="2" fontId="1" fillId="38" borderId="72" xfId="0" applyNumberFormat="1" applyFont="1" applyFill="1" applyBorder="1" applyAlignment="1" applyProtection="1">
      <alignment horizontal="left" vertical="center" wrapText="1"/>
    </xf>
    <xf numFmtId="2" fontId="13" fillId="39" borderId="7" xfId="0" applyNumberFormat="1" applyFont="1" applyFill="1" applyBorder="1" applyAlignment="1" applyProtection="1">
      <alignment horizontal="left" vertical="center" wrapText="1"/>
    </xf>
    <xf numFmtId="2" fontId="13" fillId="39" borderId="62" xfId="0" applyNumberFormat="1" applyFont="1" applyFill="1" applyBorder="1" applyAlignment="1" applyProtection="1">
      <alignment horizontal="left" vertical="center" wrapText="1"/>
    </xf>
    <xf numFmtId="2" fontId="13" fillId="39" borderId="43" xfId="0" applyNumberFormat="1" applyFont="1" applyFill="1" applyBorder="1" applyAlignment="1" applyProtection="1">
      <alignment horizontal="left" vertical="center" wrapText="1"/>
    </xf>
    <xf numFmtId="0" fontId="2" fillId="39" borderId="7" xfId="0" applyFont="1" applyFill="1" applyBorder="1" applyAlignment="1" applyProtection="1">
      <alignment horizontal="left" vertical="center" wrapText="1"/>
    </xf>
    <xf numFmtId="0" fontId="2" fillId="39" borderId="62" xfId="0" applyFont="1" applyFill="1" applyBorder="1" applyAlignment="1" applyProtection="1">
      <alignment horizontal="left" vertical="center" wrapText="1"/>
    </xf>
    <xf numFmtId="0" fontId="2" fillId="39" borderId="43" xfId="0" applyFont="1" applyFill="1" applyBorder="1" applyAlignment="1" applyProtection="1">
      <alignment horizontal="left" vertical="center" wrapText="1"/>
    </xf>
    <xf numFmtId="0" fontId="0" fillId="33" borderId="0" xfId="0" applyFill="1" applyAlignment="1" applyProtection="1">
      <alignment vertical="center" wrapText="1"/>
    </xf>
    <xf numFmtId="164" fontId="2" fillId="0" borderId="0" xfId="0" applyNumberFormat="1" applyFont="1" applyBorder="1" applyAlignment="1" applyProtection="1">
      <alignment horizontal="center" vertical="center"/>
    </xf>
    <xf numFmtId="0" fontId="1" fillId="36" borderId="67" xfId="0" applyFont="1" applyFill="1" applyBorder="1" applyAlignment="1" applyProtection="1">
      <alignment horizontal="left" vertical="center" wrapText="1"/>
    </xf>
    <xf numFmtId="0" fontId="1" fillId="36" borderId="69" xfId="0" applyFont="1" applyFill="1" applyBorder="1" applyAlignment="1" applyProtection="1">
      <alignment horizontal="left" vertical="center" wrapText="1"/>
    </xf>
    <xf numFmtId="0" fontId="2" fillId="33" borderId="40" xfId="0" applyFont="1" applyFill="1" applyBorder="1" applyAlignment="1" applyProtection="1">
      <alignment horizontal="left" vertical="center" wrapText="1"/>
    </xf>
    <xf numFmtId="0" fontId="2" fillId="33" borderId="70" xfId="0" applyFont="1" applyFill="1" applyBorder="1" applyAlignment="1" applyProtection="1">
      <alignment horizontal="left" vertical="center" wrapText="1"/>
    </xf>
    <xf numFmtId="16" fontId="2" fillId="33" borderId="40" xfId="0" applyNumberFormat="1" applyFont="1" applyFill="1" applyBorder="1" applyAlignment="1" applyProtection="1">
      <alignment horizontal="left" vertical="center" wrapText="1"/>
    </xf>
    <xf numFmtId="2" fontId="1" fillId="37" borderId="71" xfId="0" applyNumberFormat="1" applyFont="1" applyFill="1" applyBorder="1" applyAlignment="1" applyProtection="1">
      <alignment horizontal="left" vertical="center" wrapText="1"/>
    </xf>
    <xf numFmtId="2" fontId="1" fillId="37" borderId="72" xfId="0" applyNumberFormat="1" applyFont="1" applyFill="1" applyBorder="1" applyAlignment="1" applyProtection="1">
      <alignment horizontal="left" vertical="center" wrapText="1"/>
    </xf>
    <xf numFmtId="14" fontId="2" fillId="33" borderId="40" xfId="0" applyNumberFormat="1" applyFont="1" applyFill="1" applyBorder="1" applyAlignment="1" applyProtection="1">
      <alignment horizontal="left" vertical="center" wrapText="1"/>
    </xf>
    <xf numFmtId="0" fontId="2" fillId="0" borderId="33" xfId="0" applyFont="1" applyBorder="1" applyAlignment="1" applyProtection="1">
      <alignment horizontal="center" vertical="center" wrapText="1"/>
    </xf>
    <xf numFmtId="0" fontId="1" fillId="0" borderId="80" xfId="0" applyFont="1" applyBorder="1" applyAlignment="1" applyProtection="1">
      <alignment horizontal="center" vertical="center" wrapText="1"/>
    </xf>
    <xf numFmtId="0" fontId="1" fillId="0" borderId="81" xfId="0" applyFont="1" applyBorder="1" applyAlignment="1" applyProtection="1">
      <alignment horizontal="center" vertical="center" wrapText="1"/>
    </xf>
    <xf numFmtId="0" fontId="1" fillId="0" borderId="82" xfId="0" applyFont="1" applyBorder="1" applyAlignment="1" applyProtection="1">
      <alignment horizontal="center" vertical="center" wrapText="1"/>
    </xf>
    <xf numFmtId="0" fontId="1" fillId="0" borderId="83" xfId="0" applyFont="1" applyBorder="1" applyAlignment="1" applyProtection="1">
      <alignment horizontal="center" vertical="center" wrapText="1"/>
    </xf>
    <xf numFmtId="4" fontId="1" fillId="0" borderId="84" xfId="0" applyNumberFormat="1" applyFont="1" applyBorder="1" applyAlignment="1" applyProtection="1">
      <alignment horizontal="center" vertical="center" wrapText="1"/>
    </xf>
    <xf numFmtId="4" fontId="1" fillId="0" borderId="85" xfId="0" applyNumberFormat="1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62" xfId="0" applyFont="1" applyBorder="1" applyAlignment="1" applyProtection="1">
      <alignment horizontal="center" vertical="center" wrapText="1"/>
    </xf>
    <xf numFmtId="4" fontId="2" fillId="33" borderId="63" xfId="0" applyNumberFormat="1" applyFont="1" applyFill="1" applyBorder="1" applyAlignment="1" applyProtection="1">
      <alignment horizontal="right" vertical="center" wrapText="1" indent="1"/>
    </xf>
    <xf numFmtId="4" fontId="2" fillId="33" borderId="64" xfId="0" applyNumberFormat="1" applyFont="1" applyFill="1" applyBorder="1" applyAlignment="1" applyProtection="1">
      <alignment horizontal="right" vertical="center" wrapText="1" indent="1"/>
    </xf>
    <xf numFmtId="4" fontId="2" fillId="0" borderId="32" xfId="0" applyNumberFormat="1" applyFont="1" applyBorder="1" applyAlignment="1" applyProtection="1">
      <alignment horizontal="right" vertical="center" wrapText="1" indent="1"/>
    </xf>
    <xf numFmtId="4" fontId="2" fillId="0" borderId="76" xfId="0" applyNumberFormat="1" applyFont="1" applyBorder="1" applyAlignment="1" applyProtection="1">
      <alignment horizontal="right" vertical="center" wrapText="1" indent="1"/>
    </xf>
    <xf numFmtId="4" fontId="14" fillId="0" borderId="63" xfId="0" applyNumberFormat="1" applyFont="1" applyBorder="1" applyAlignment="1" applyProtection="1">
      <alignment horizontal="center" vertical="center" wrapText="1"/>
    </xf>
    <xf numFmtId="4" fontId="14" fillId="0" borderId="65" xfId="0" applyNumberFormat="1" applyFont="1" applyBorder="1" applyAlignment="1" applyProtection="1">
      <alignment horizontal="center" vertical="center" wrapText="1"/>
    </xf>
    <xf numFmtId="4" fontId="14" fillId="0" borderId="77" xfId="0" applyNumberFormat="1" applyFont="1" applyBorder="1" applyAlignment="1" applyProtection="1">
      <alignment horizontal="center" vertical="center" wrapText="1"/>
    </xf>
    <xf numFmtId="0" fontId="2" fillId="0" borderId="78" xfId="0" applyFont="1" applyBorder="1" applyAlignment="1" applyProtection="1">
      <alignment horizontal="left" vertical="center" wrapText="1"/>
    </xf>
    <xf numFmtId="0" fontId="2" fillId="0" borderId="68" xfId="0" applyFont="1" applyBorder="1" applyAlignment="1" applyProtection="1">
      <alignment horizontal="left" vertical="center" wrapText="1"/>
    </xf>
    <xf numFmtId="0" fontId="2" fillId="0" borderId="79" xfId="0" applyFont="1" applyBorder="1" applyAlignment="1" applyProtection="1">
      <alignment horizontal="left" vertical="center" wrapText="1"/>
    </xf>
    <xf numFmtId="4" fontId="2" fillId="33" borderId="41" xfId="0" applyNumberFormat="1" applyFont="1" applyFill="1" applyBorder="1" applyAlignment="1" applyProtection="1">
      <alignment horizontal="right" vertical="center" wrapText="1" indent="1"/>
    </xf>
    <xf numFmtId="4" fontId="2" fillId="33" borderId="70" xfId="0" applyNumberFormat="1" applyFont="1" applyFill="1" applyBorder="1" applyAlignment="1" applyProtection="1">
      <alignment horizontal="right" vertical="center" wrapText="1" indent="1"/>
    </xf>
    <xf numFmtId="4" fontId="2" fillId="0" borderId="63" xfId="0" applyNumberFormat="1" applyFont="1" applyBorder="1" applyAlignment="1" applyProtection="1">
      <alignment horizontal="center" vertical="center" wrapText="1"/>
    </xf>
    <xf numFmtId="4" fontId="2" fillId="0" borderId="65" xfId="0" applyNumberFormat="1" applyFont="1" applyBorder="1" applyAlignment="1" applyProtection="1">
      <alignment horizontal="center" vertical="center" wrapText="1"/>
    </xf>
    <xf numFmtId="4" fontId="2" fillId="0" borderId="77" xfId="0" applyNumberFormat="1" applyFont="1" applyBorder="1" applyAlignment="1" applyProtection="1">
      <alignment horizontal="center" vertical="center" wrapText="1"/>
    </xf>
    <xf numFmtId="0" fontId="0" fillId="0" borderId="70" xfId="0" applyBorder="1" applyAlignment="1">
      <alignment horizontal="right" vertical="center" wrapText="1" indent="1"/>
    </xf>
    <xf numFmtId="4" fontId="2" fillId="0" borderId="73" xfId="0" applyNumberFormat="1" applyFont="1" applyBorder="1" applyAlignment="1" applyProtection="1">
      <alignment horizontal="center" vertical="center" wrapText="1"/>
    </xf>
    <xf numFmtId="4" fontId="2" fillId="0" borderId="74" xfId="0" applyNumberFormat="1" applyFont="1" applyBorder="1" applyAlignment="1" applyProtection="1">
      <alignment horizontal="center" vertical="center" wrapText="1"/>
    </xf>
    <xf numFmtId="4" fontId="2" fillId="0" borderId="55" xfId="0" applyNumberFormat="1" applyFont="1" applyBorder="1" applyAlignment="1" applyProtection="1">
      <alignment horizontal="center" vertical="center" wrapText="1"/>
    </xf>
    <xf numFmtId="4" fontId="2" fillId="0" borderId="56" xfId="0" applyNumberFormat="1" applyFont="1" applyBorder="1" applyAlignment="1" applyProtection="1">
      <alignment horizontal="center" vertical="center" wrapText="1"/>
    </xf>
    <xf numFmtId="4" fontId="2" fillId="0" borderId="60" xfId="0" applyNumberFormat="1" applyFont="1" applyBorder="1" applyAlignment="1" applyProtection="1">
      <alignment horizontal="center" vertical="center" wrapText="1"/>
    </xf>
    <xf numFmtId="0" fontId="2" fillId="0" borderId="73" xfId="0" applyFont="1" applyBorder="1" applyAlignment="1" applyProtection="1">
      <alignment horizontal="center" vertical="center" wrapText="1"/>
    </xf>
    <xf numFmtId="0" fontId="2" fillId="0" borderId="74" xfId="0" applyFont="1" applyBorder="1" applyAlignment="1" applyProtection="1">
      <alignment horizontal="center" vertical="center" wrapText="1"/>
    </xf>
    <xf numFmtId="0" fontId="2" fillId="0" borderId="75" xfId="0" applyFont="1" applyBorder="1" applyAlignment="1" applyProtection="1">
      <alignment horizontal="center" vertical="center" wrapText="1"/>
    </xf>
    <xf numFmtId="0" fontId="1" fillId="33" borderId="1" xfId="0" applyFont="1" applyFill="1" applyBorder="1" applyAlignment="1" applyProtection="1">
      <alignment horizontal="left" vertical="center"/>
    </xf>
    <xf numFmtId="0" fontId="1" fillId="33" borderId="64" xfId="0" applyFont="1" applyFill="1" applyBorder="1" applyAlignment="1" applyProtection="1">
      <alignment horizontal="left" vertical="center"/>
    </xf>
    <xf numFmtId="4" fontId="1" fillId="0" borderId="1" xfId="0" applyNumberFormat="1" applyFont="1" applyBorder="1" applyAlignment="1" applyProtection="1">
      <alignment horizontal="center" vertical="center" wrapText="1"/>
    </xf>
    <xf numFmtId="4" fontId="1" fillId="0" borderId="64" xfId="0" applyNumberFormat="1" applyFont="1" applyBorder="1" applyAlignment="1" applyProtection="1">
      <alignment horizontal="center" vertical="center" wrapText="1"/>
    </xf>
    <xf numFmtId="0" fontId="2" fillId="0" borderId="71" xfId="0" applyFont="1" applyBorder="1" applyAlignment="1" applyProtection="1">
      <alignment horizontal="left" vertical="center"/>
      <protection locked="0"/>
    </xf>
    <xf numFmtId="0" fontId="2" fillId="0" borderId="72" xfId="0" applyFont="1" applyBorder="1" applyAlignment="1" applyProtection="1">
      <alignment horizontal="left" vertical="center"/>
      <protection locked="0"/>
    </xf>
    <xf numFmtId="4" fontId="3" fillId="0" borderId="71" xfId="0" applyNumberFormat="1" applyFont="1" applyBorder="1" applyAlignment="1" applyProtection="1">
      <alignment horizontal="right" vertical="center" wrapText="1" indent="1"/>
    </xf>
    <xf numFmtId="4" fontId="3" fillId="0" borderId="72" xfId="0" applyNumberFormat="1" applyFont="1" applyBorder="1" applyAlignment="1" applyProtection="1">
      <alignment horizontal="right" vertical="center" wrapText="1" indent="1"/>
    </xf>
    <xf numFmtId="0" fontId="1" fillId="0" borderId="67" xfId="0" applyFont="1" applyBorder="1" applyAlignment="1" applyProtection="1">
      <alignment horizontal="center" vertical="center"/>
    </xf>
    <xf numFmtId="0" fontId="1" fillId="0" borderId="68" xfId="0" applyFont="1" applyBorder="1" applyAlignment="1" applyProtection="1">
      <alignment horizontal="center" vertical="center"/>
    </xf>
    <xf numFmtId="0" fontId="1" fillId="0" borderId="69" xfId="0" applyFont="1" applyBorder="1" applyAlignment="1" applyProtection="1">
      <alignment horizontal="center" vertical="center"/>
    </xf>
    <xf numFmtId="0" fontId="1" fillId="0" borderId="41" xfId="0" applyFont="1" applyBorder="1" applyAlignment="1" applyProtection="1">
      <alignment horizontal="center" vertical="center"/>
    </xf>
    <xf numFmtId="0" fontId="1" fillId="0" borderId="66" xfId="0" applyFont="1" applyBorder="1" applyAlignment="1" applyProtection="1">
      <alignment horizontal="center" vertical="center"/>
    </xf>
    <xf numFmtId="0" fontId="1" fillId="0" borderId="45" xfId="0" applyFont="1" applyBorder="1" applyAlignment="1" applyProtection="1">
      <alignment horizontal="center" vertical="center"/>
    </xf>
    <xf numFmtId="0" fontId="2" fillId="35" borderId="40" xfId="0" applyFont="1" applyFill="1" applyBorder="1" applyAlignment="1" applyProtection="1">
      <alignment horizontal="left" vertical="center" wrapText="1"/>
    </xf>
    <xf numFmtId="0" fontId="2" fillId="35" borderId="66" xfId="0" applyFont="1" applyFill="1" applyBorder="1" applyAlignment="1" applyProtection="1">
      <alignment horizontal="left" vertical="center" wrapText="1"/>
    </xf>
    <xf numFmtId="0" fontId="2" fillId="35" borderId="70" xfId="0" applyFont="1" applyFill="1" applyBorder="1" applyAlignment="1" applyProtection="1">
      <alignment horizontal="left" vertical="center" wrapText="1"/>
    </xf>
    <xf numFmtId="1" fontId="2" fillId="0" borderId="40" xfId="0" applyNumberFormat="1" applyFont="1" applyBorder="1" applyAlignment="1" applyProtection="1">
      <alignment horizontal="center" vertical="center" wrapText="1"/>
    </xf>
    <xf numFmtId="1" fontId="2" fillId="0" borderId="66" xfId="0" applyNumberFormat="1" applyFont="1" applyBorder="1" applyAlignment="1" applyProtection="1">
      <alignment horizontal="center" vertical="center" wrapText="1"/>
    </xf>
    <xf numFmtId="1" fontId="2" fillId="0" borderId="70" xfId="0" applyNumberFormat="1" applyFont="1" applyBorder="1" applyAlignment="1" applyProtection="1">
      <alignment horizontal="center" vertical="center" wrapText="1"/>
    </xf>
    <xf numFmtId="0" fontId="2" fillId="0" borderId="41" xfId="0" applyFont="1" applyBorder="1" applyAlignment="1" applyProtection="1">
      <alignment horizontal="center" vertical="center"/>
    </xf>
    <xf numFmtId="0" fontId="2" fillId="0" borderId="66" xfId="0" applyFont="1" applyBorder="1" applyAlignment="1" applyProtection="1">
      <alignment horizontal="center" vertical="center"/>
    </xf>
    <xf numFmtId="0" fontId="2" fillId="0" borderId="45" xfId="0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 wrapText="1"/>
    </xf>
    <xf numFmtId="0" fontId="1" fillId="0" borderId="67" xfId="0" applyFont="1" applyBorder="1" applyAlignment="1" applyProtection="1">
      <alignment horizontal="left" vertical="top" wrapText="1"/>
    </xf>
    <xf numFmtId="0" fontId="1" fillId="0" borderId="68" xfId="0" applyFont="1" applyBorder="1" applyAlignment="1" applyProtection="1">
      <alignment horizontal="left" vertical="top" wrapText="1"/>
    </xf>
    <xf numFmtId="0" fontId="1" fillId="0" borderId="69" xfId="0" applyFont="1" applyBorder="1" applyAlignment="1" applyProtection="1">
      <alignment horizontal="left" vertical="top" wrapText="1"/>
    </xf>
    <xf numFmtId="0" fontId="6" fillId="0" borderId="67" xfId="0" applyFont="1" applyBorder="1" applyAlignment="1" applyProtection="1">
      <alignment horizontal="left" vertical="top"/>
    </xf>
    <xf numFmtId="0" fontId="6" fillId="0" borderId="68" xfId="0" applyFont="1" applyBorder="1" applyAlignment="1" applyProtection="1">
      <alignment horizontal="left" vertical="top"/>
    </xf>
    <xf numFmtId="0" fontId="6" fillId="0" borderId="69" xfId="0" applyFont="1" applyBorder="1" applyAlignment="1" applyProtection="1">
      <alignment horizontal="left" vertical="top"/>
    </xf>
  </cellXfs>
  <cellStyles count="56">
    <cellStyle name="20% - Акцент1" xfId="1" builtinId="30" customBuiltin="1"/>
    <cellStyle name="20% - Акцент1 2" xfId="2"/>
    <cellStyle name="20% - Акцент2" xfId="3" builtinId="34" customBuiltin="1"/>
    <cellStyle name="20% - Акцент2 2" xfId="4"/>
    <cellStyle name="20% - Акцент3" xfId="5" builtinId="38" customBuiltin="1"/>
    <cellStyle name="20% - Акцент3 2" xfId="6"/>
    <cellStyle name="20% - Акцент4" xfId="7" builtinId="42" customBuiltin="1"/>
    <cellStyle name="20% - Акцент4 2" xfId="8"/>
    <cellStyle name="20% - Акцент5" xfId="9" builtinId="46" customBuiltin="1"/>
    <cellStyle name="20% - Акцент5 2" xfId="10"/>
    <cellStyle name="20% - Акцент6" xfId="11" builtinId="50" customBuiltin="1"/>
    <cellStyle name="20% - Акцент6 2" xfId="12"/>
    <cellStyle name="40% - Акцент1" xfId="13" builtinId="31" customBuiltin="1"/>
    <cellStyle name="40% - Акцент1 2" xfId="14"/>
    <cellStyle name="40% - Акцент2" xfId="15" builtinId="35" customBuiltin="1"/>
    <cellStyle name="40% - Акцент2 2" xfId="16"/>
    <cellStyle name="40% - Акцент3" xfId="17" builtinId="39" customBuiltin="1"/>
    <cellStyle name="40% - Акцент3 2" xfId="18"/>
    <cellStyle name="40% - Акцент4" xfId="19" builtinId="43" customBuiltin="1"/>
    <cellStyle name="40% - Акцент4 2" xfId="20"/>
    <cellStyle name="40% - Акцент5" xfId="21" builtinId="47" customBuiltin="1"/>
    <cellStyle name="40% - Акцент5 2" xfId="22"/>
    <cellStyle name="40% - Акцент6" xfId="23" builtinId="51" customBuiltin="1"/>
    <cellStyle name="40% - Акцент6 2" xfId="24"/>
    <cellStyle name="60% - Акцент1" xfId="25" builtinId="32" customBuiltin="1"/>
    <cellStyle name="60% - Акцент2" xfId="26" builtinId="36" customBuiltin="1"/>
    <cellStyle name="60% - Акцент3" xfId="27" builtinId="40" customBuiltin="1"/>
    <cellStyle name="60% - Акцент4" xfId="28" builtinId="44" customBuiltin="1"/>
    <cellStyle name="60% - Акцент5" xfId="29" builtinId="48" customBuiltin="1"/>
    <cellStyle name="60% - Акцент6" xfId="30" builtinId="52" customBuiltin="1"/>
    <cellStyle name="Акцент1" xfId="31" builtinId="29" customBuiltin="1"/>
    <cellStyle name="Акцент2" xfId="32" builtinId="33" customBuiltin="1"/>
    <cellStyle name="Акцент3" xfId="33" builtinId="37" customBuiltin="1"/>
    <cellStyle name="Акцент4" xfId="34" builtinId="41" customBuiltin="1"/>
    <cellStyle name="Акцент5" xfId="35" builtinId="45" customBuiltin="1"/>
    <cellStyle name="Акцент6" xfId="36" builtinId="49" customBuiltin="1"/>
    <cellStyle name="Ввод " xfId="37" builtinId="20" customBuiltin="1"/>
    <cellStyle name="Вывод" xfId="38" builtinId="21" customBuiltin="1"/>
    <cellStyle name="Вычисление" xfId="39" builtinId="22" customBuiltin="1"/>
    <cellStyle name="Заголовок 1" xfId="40" builtinId="16" customBuiltin="1"/>
    <cellStyle name="Заголовок 2" xfId="41" builtinId="17" customBuiltin="1"/>
    <cellStyle name="Заголовок 3" xfId="42" builtinId="18" customBuiltin="1"/>
    <cellStyle name="Заголовок 4" xfId="43" builtinId="19" customBuiltin="1"/>
    <cellStyle name="Итог" xfId="44" builtinId="25" customBuiltin="1"/>
    <cellStyle name="Контрольная ячейка" xfId="45" builtinId="23" customBuiltin="1"/>
    <cellStyle name="Название" xfId="46" builtinId="15" customBuiltin="1"/>
    <cellStyle name="Нейтральный" xfId="47" builtinId="28" customBuiltin="1"/>
    <cellStyle name="Обычный" xfId="0" builtinId="0" customBuiltin="1"/>
    <cellStyle name="Обычный 2" xfId="48"/>
    <cellStyle name="Плохой" xfId="49" builtinId="27" customBuiltin="1"/>
    <cellStyle name="Пояснение" xfId="50" builtinId="53" customBuiltin="1"/>
    <cellStyle name="Примечание" xfId="51" builtinId="10" customBuiltin="1"/>
    <cellStyle name="Примечание 2" xfId="52"/>
    <cellStyle name="Связанная ячейка" xfId="53" builtinId="24" customBuiltin="1"/>
    <cellStyle name="Текст предупреждения" xfId="54" builtinId="11" customBuiltin="1"/>
    <cellStyle name="Хороший" xfId="55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BP41"/>
  <sheetViews>
    <sheetView topLeftCell="A10" workbookViewId="0">
      <selection activeCell="B52" sqref="B52"/>
    </sheetView>
  </sheetViews>
  <sheetFormatPr defaultRowHeight="12.75" x14ac:dyDescent="0.2"/>
  <cols>
    <col min="1" max="1" width="27" customWidth="1"/>
    <col min="2" max="2" width="59.5703125" customWidth="1"/>
    <col min="3" max="5" width="19" customWidth="1"/>
    <col min="6" max="62" width="19" hidden="1" customWidth="1"/>
    <col min="63" max="63" width="16" customWidth="1"/>
    <col min="64" max="64" width="18.140625" customWidth="1"/>
    <col min="65" max="65" width="16.42578125" customWidth="1"/>
    <col min="66" max="66" width="16.140625" customWidth="1"/>
    <col min="67" max="67" width="15.85546875" customWidth="1"/>
    <col min="68" max="68" width="16.42578125" customWidth="1"/>
  </cols>
  <sheetData>
    <row r="1" spans="1:68" ht="33.75" customHeight="1" x14ac:dyDescent="0.2">
      <c r="A1" s="128" t="s">
        <v>7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</row>
    <row r="2" spans="1:68" ht="14.25" x14ac:dyDescent="0.2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</row>
    <row r="3" spans="1:68" s="2" customFormat="1" ht="15.75" customHeight="1" thickBot="1" x14ac:dyDescent="0.25">
      <c r="A3" s="129" t="s">
        <v>114</v>
      </c>
      <c r="B3" s="129"/>
      <c r="C3" s="129"/>
      <c r="D3" s="129"/>
    </row>
    <row r="4" spans="1:68" ht="16.350000000000001" customHeight="1" thickBot="1" x14ac:dyDescent="0.25">
      <c r="A4" s="8" t="s">
        <v>8</v>
      </c>
      <c r="B4" s="9" t="s">
        <v>103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68" ht="16.350000000000001" customHeight="1" thickBot="1" x14ac:dyDescent="0.25">
      <c r="A5" s="8" t="s">
        <v>0</v>
      </c>
      <c r="B5" s="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68" ht="31.7" customHeight="1" thickBot="1" x14ac:dyDescent="0.25">
      <c r="A6" s="8" t="s">
        <v>9</v>
      </c>
      <c r="B6" s="9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68" ht="16.5" thickBot="1" x14ac:dyDescent="0.25">
      <c r="A7" s="8" t="s">
        <v>10</v>
      </c>
      <c r="B7" s="9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68" ht="16.5" thickBot="1" x14ac:dyDescent="0.25">
      <c r="A8" s="8" t="s">
        <v>11</v>
      </c>
      <c r="B8" s="9" t="s">
        <v>102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68" ht="16.350000000000001" customHeight="1" thickBot="1" x14ac:dyDescent="0.25">
      <c r="A9" s="8" t="s">
        <v>12</v>
      </c>
      <c r="B9" s="10" t="s">
        <v>24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68" ht="33.75" customHeight="1" thickBot="1" x14ac:dyDescent="0.3">
      <c r="A10" s="11" t="s">
        <v>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68" ht="60.95" customHeight="1" thickBot="1" x14ac:dyDescent="0.3">
      <c r="A11" s="130" t="s">
        <v>14</v>
      </c>
      <c r="B11" s="132" t="s">
        <v>15</v>
      </c>
      <c r="C11" s="134" t="s">
        <v>16</v>
      </c>
      <c r="D11" s="135"/>
      <c r="E11" s="136"/>
      <c r="F11" s="6"/>
      <c r="G11" s="6"/>
      <c r="H11" s="6"/>
      <c r="I11" s="6"/>
      <c r="J11" s="6"/>
      <c r="K11" s="6"/>
    </row>
    <row r="12" spans="1:68" ht="71.25" customHeight="1" x14ac:dyDescent="0.2">
      <c r="A12" s="131"/>
      <c r="B12" s="133"/>
      <c r="C12" s="12" t="s">
        <v>104</v>
      </c>
      <c r="D12" s="76" t="s">
        <v>105</v>
      </c>
      <c r="E12" s="76" t="s">
        <v>106</v>
      </c>
      <c r="F12" s="12" t="s">
        <v>4</v>
      </c>
      <c r="G12" s="12" t="s">
        <v>4</v>
      </c>
      <c r="H12" s="12" t="s">
        <v>4</v>
      </c>
      <c r="I12" s="12" t="s">
        <v>4</v>
      </c>
      <c r="J12" s="12" t="s">
        <v>4</v>
      </c>
      <c r="K12" s="12" t="s">
        <v>4</v>
      </c>
      <c r="L12" s="12" t="s">
        <v>4</v>
      </c>
      <c r="M12" s="12" t="s">
        <v>4</v>
      </c>
      <c r="N12" s="12" t="s">
        <v>4</v>
      </c>
      <c r="O12" s="12" t="s">
        <v>4</v>
      </c>
      <c r="P12" s="12" t="s">
        <v>4</v>
      </c>
      <c r="Q12" s="12" t="s">
        <v>4</v>
      </c>
      <c r="R12" s="12" t="s">
        <v>4</v>
      </c>
      <c r="S12" s="12" t="s">
        <v>4</v>
      </c>
      <c r="T12" s="12" t="s">
        <v>4</v>
      </c>
      <c r="U12" s="12" t="s">
        <v>4</v>
      </c>
      <c r="V12" s="12" t="s">
        <v>4</v>
      </c>
      <c r="W12" s="12" t="s">
        <v>4</v>
      </c>
      <c r="X12" s="12" t="s">
        <v>4</v>
      </c>
      <c r="Y12" s="12" t="s">
        <v>4</v>
      </c>
      <c r="Z12" s="12" t="s">
        <v>4</v>
      </c>
      <c r="AA12" s="12" t="s">
        <v>4</v>
      </c>
      <c r="AB12" s="12" t="s">
        <v>4</v>
      </c>
      <c r="AC12" s="12" t="s">
        <v>4</v>
      </c>
      <c r="AD12" s="12" t="s">
        <v>4</v>
      </c>
      <c r="AE12" s="12" t="s">
        <v>4</v>
      </c>
      <c r="AF12" s="12" t="s">
        <v>4</v>
      </c>
      <c r="AG12" s="12" t="s">
        <v>4</v>
      </c>
      <c r="AH12" s="12" t="s">
        <v>4</v>
      </c>
      <c r="AI12" s="12" t="s">
        <v>4</v>
      </c>
      <c r="AJ12" s="12" t="s">
        <v>4</v>
      </c>
      <c r="AK12" s="12" t="s">
        <v>4</v>
      </c>
      <c r="AL12" s="12" t="s">
        <v>4</v>
      </c>
      <c r="AM12" s="12" t="s">
        <v>4</v>
      </c>
      <c r="AN12" s="12" t="s">
        <v>4</v>
      </c>
      <c r="AO12" s="12" t="s">
        <v>4</v>
      </c>
      <c r="AP12" s="12" t="s">
        <v>4</v>
      </c>
      <c r="AQ12" s="12" t="s">
        <v>4</v>
      </c>
      <c r="AR12" s="12" t="s">
        <v>4</v>
      </c>
      <c r="AS12" s="12" t="s">
        <v>4</v>
      </c>
      <c r="AT12" s="12" t="s">
        <v>4</v>
      </c>
      <c r="AU12" s="12" t="s">
        <v>4</v>
      </c>
      <c r="AV12" s="12" t="s">
        <v>4</v>
      </c>
      <c r="AW12" s="12" t="s">
        <v>4</v>
      </c>
      <c r="AX12" s="12" t="s">
        <v>4</v>
      </c>
      <c r="AY12" s="12" t="s">
        <v>4</v>
      </c>
      <c r="AZ12" s="12" t="s">
        <v>4</v>
      </c>
      <c r="BA12" s="12" t="s">
        <v>4</v>
      </c>
      <c r="BB12" s="12" t="s">
        <v>4</v>
      </c>
      <c r="BC12" s="12" t="s">
        <v>4</v>
      </c>
      <c r="BD12" s="12" t="s">
        <v>4</v>
      </c>
      <c r="BE12" s="12" t="s">
        <v>4</v>
      </c>
      <c r="BF12" s="12" t="s">
        <v>4</v>
      </c>
      <c r="BG12" s="12" t="s">
        <v>4</v>
      </c>
      <c r="BH12" s="12" t="s">
        <v>4</v>
      </c>
      <c r="BI12" s="12" t="s">
        <v>4</v>
      </c>
      <c r="BJ12" s="12" t="s">
        <v>4</v>
      </c>
      <c r="BK12" s="6"/>
      <c r="BL12" s="6"/>
      <c r="BM12" s="6"/>
      <c r="BN12" s="6"/>
      <c r="BO12" s="6"/>
      <c r="BP12" s="6"/>
    </row>
    <row r="13" spans="1:68" ht="29.25" x14ac:dyDescent="0.25">
      <c r="A13" s="13" t="s">
        <v>5</v>
      </c>
      <c r="B13" s="14" t="s">
        <v>107</v>
      </c>
      <c r="C13" s="15" t="s">
        <v>4</v>
      </c>
      <c r="D13" s="15" t="s">
        <v>4</v>
      </c>
      <c r="E13" s="15" t="s">
        <v>4</v>
      </c>
      <c r="F13" s="15" t="s">
        <v>4</v>
      </c>
      <c r="G13" s="15" t="s">
        <v>4</v>
      </c>
      <c r="H13" s="15" t="s">
        <v>4</v>
      </c>
      <c r="I13" s="15" t="s">
        <v>4</v>
      </c>
      <c r="J13" s="15" t="s">
        <v>4</v>
      </c>
      <c r="K13" s="15" t="s">
        <v>4</v>
      </c>
      <c r="L13" s="15" t="s">
        <v>4</v>
      </c>
      <c r="M13" s="15" t="s">
        <v>4</v>
      </c>
      <c r="N13" s="15" t="s">
        <v>4</v>
      </c>
      <c r="O13" s="15" t="s">
        <v>4</v>
      </c>
      <c r="P13" s="15" t="s">
        <v>4</v>
      </c>
      <c r="Q13" s="15" t="s">
        <v>4</v>
      </c>
      <c r="R13" s="15" t="s">
        <v>4</v>
      </c>
      <c r="S13" s="15" t="s">
        <v>4</v>
      </c>
      <c r="T13" s="15" t="s">
        <v>4</v>
      </c>
      <c r="U13" s="15" t="s">
        <v>4</v>
      </c>
      <c r="V13" s="15" t="s">
        <v>4</v>
      </c>
      <c r="W13" s="15" t="s">
        <v>4</v>
      </c>
      <c r="X13" s="15" t="s">
        <v>4</v>
      </c>
      <c r="Y13" s="15" t="s">
        <v>4</v>
      </c>
      <c r="Z13" s="15" t="s">
        <v>4</v>
      </c>
      <c r="AA13" s="15" t="s">
        <v>4</v>
      </c>
      <c r="AB13" s="15" t="s">
        <v>4</v>
      </c>
      <c r="AC13" s="15" t="s">
        <v>4</v>
      </c>
      <c r="AD13" s="15" t="s">
        <v>4</v>
      </c>
      <c r="AE13" s="15" t="s">
        <v>4</v>
      </c>
      <c r="AF13" s="15" t="s">
        <v>4</v>
      </c>
      <c r="AG13" s="15" t="s">
        <v>4</v>
      </c>
      <c r="AH13" s="15" t="s">
        <v>4</v>
      </c>
      <c r="AI13" s="15" t="s">
        <v>4</v>
      </c>
      <c r="AJ13" s="15" t="s">
        <v>4</v>
      </c>
      <c r="AK13" s="15" t="s">
        <v>4</v>
      </c>
      <c r="AL13" s="15" t="s">
        <v>4</v>
      </c>
      <c r="AM13" s="15" t="s">
        <v>4</v>
      </c>
      <c r="AN13" s="15" t="s">
        <v>4</v>
      </c>
      <c r="AO13" s="15" t="s">
        <v>4</v>
      </c>
      <c r="AP13" s="15" t="s">
        <v>4</v>
      </c>
      <c r="AQ13" s="15" t="s">
        <v>4</v>
      </c>
      <c r="AR13" s="15" t="s">
        <v>4</v>
      </c>
      <c r="AS13" s="15" t="s">
        <v>4</v>
      </c>
      <c r="AT13" s="15" t="s">
        <v>4</v>
      </c>
      <c r="AU13" s="15" t="s">
        <v>4</v>
      </c>
      <c r="AV13" s="15" t="s">
        <v>4</v>
      </c>
      <c r="AW13" s="15" t="s">
        <v>4</v>
      </c>
      <c r="AX13" s="15" t="s">
        <v>4</v>
      </c>
      <c r="AY13" s="15" t="s">
        <v>4</v>
      </c>
      <c r="AZ13" s="15" t="s">
        <v>4</v>
      </c>
      <c r="BA13" s="15" t="s">
        <v>4</v>
      </c>
      <c r="BB13" s="15" t="s">
        <v>4</v>
      </c>
      <c r="BC13" s="15" t="s">
        <v>4</v>
      </c>
      <c r="BD13" s="15" t="s">
        <v>4</v>
      </c>
      <c r="BE13" s="15" t="s">
        <v>4</v>
      </c>
      <c r="BF13" s="15" t="s">
        <v>4</v>
      </c>
      <c r="BG13" s="15" t="s">
        <v>4</v>
      </c>
      <c r="BH13" s="15" t="s">
        <v>4</v>
      </c>
      <c r="BI13" s="15" t="s">
        <v>4</v>
      </c>
      <c r="BJ13" s="15" t="s">
        <v>4</v>
      </c>
      <c r="BK13" s="6"/>
      <c r="BL13" s="6"/>
      <c r="BM13" s="6"/>
      <c r="BN13" s="6"/>
      <c r="BO13" s="6"/>
      <c r="BP13" s="6"/>
    </row>
    <row r="14" spans="1:68" ht="29.25" x14ac:dyDescent="0.25">
      <c r="A14" s="13" t="s">
        <v>4</v>
      </c>
      <c r="B14" s="14" t="s">
        <v>111</v>
      </c>
      <c r="C14" s="15" t="s">
        <v>4</v>
      </c>
      <c r="D14" s="15" t="s">
        <v>4</v>
      </c>
      <c r="E14" s="15" t="s">
        <v>4</v>
      </c>
      <c r="F14" s="15" t="s">
        <v>4</v>
      </c>
      <c r="G14" s="15" t="s">
        <v>4</v>
      </c>
      <c r="H14" s="15" t="s">
        <v>4</v>
      </c>
      <c r="I14" s="15" t="s">
        <v>4</v>
      </c>
      <c r="J14" s="15" t="s">
        <v>4</v>
      </c>
      <c r="K14" s="15" t="s">
        <v>4</v>
      </c>
      <c r="L14" s="15" t="s">
        <v>4</v>
      </c>
      <c r="M14" s="15" t="s">
        <v>4</v>
      </c>
      <c r="N14" s="15" t="s">
        <v>4</v>
      </c>
      <c r="O14" s="15" t="s">
        <v>4</v>
      </c>
      <c r="P14" s="15" t="s">
        <v>4</v>
      </c>
      <c r="Q14" s="15" t="s">
        <v>4</v>
      </c>
      <c r="R14" s="15" t="s">
        <v>4</v>
      </c>
      <c r="S14" s="15" t="s">
        <v>4</v>
      </c>
      <c r="T14" s="15" t="s">
        <v>4</v>
      </c>
      <c r="U14" s="15" t="s">
        <v>4</v>
      </c>
      <c r="V14" s="15" t="s">
        <v>4</v>
      </c>
      <c r="W14" s="15" t="s">
        <v>4</v>
      </c>
      <c r="X14" s="15" t="s">
        <v>4</v>
      </c>
      <c r="Y14" s="15" t="s">
        <v>4</v>
      </c>
      <c r="Z14" s="15" t="s">
        <v>4</v>
      </c>
      <c r="AA14" s="15" t="s">
        <v>4</v>
      </c>
      <c r="AB14" s="15" t="s">
        <v>4</v>
      </c>
      <c r="AC14" s="15" t="s">
        <v>4</v>
      </c>
      <c r="AD14" s="15" t="s">
        <v>4</v>
      </c>
      <c r="AE14" s="15" t="s">
        <v>4</v>
      </c>
      <c r="AF14" s="15" t="s">
        <v>4</v>
      </c>
      <c r="AG14" s="15" t="s">
        <v>4</v>
      </c>
      <c r="AH14" s="15" t="s">
        <v>4</v>
      </c>
      <c r="AI14" s="15" t="s">
        <v>4</v>
      </c>
      <c r="AJ14" s="15" t="s">
        <v>4</v>
      </c>
      <c r="AK14" s="15" t="s">
        <v>4</v>
      </c>
      <c r="AL14" s="15" t="s">
        <v>4</v>
      </c>
      <c r="AM14" s="15" t="s">
        <v>4</v>
      </c>
      <c r="AN14" s="15" t="s">
        <v>4</v>
      </c>
      <c r="AO14" s="15" t="s">
        <v>4</v>
      </c>
      <c r="AP14" s="15" t="s">
        <v>4</v>
      </c>
      <c r="AQ14" s="15" t="s">
        <v>4</v>
      </c>
      <c r="AR14" s="15" t="s">
        <v>4</v>
      </c>
      <c r="AS14" s="15" t="s">
        <v>4</v>
      </c>
      <c r="AT14" s="15" t="s">
        <v>4</v>
      </c>
      <c r="AU14" s="15" t="s">
        <v>4</v>
      </c>
      <c r="AV14" s="15" t="s">
        <v>4</v>
      </c>
      <c r="AW14" s="15" t="s">
        <v>4</v>
      </c>
      <c r="AX14" s="15" t="s">
        <v>4</v>
      </c>
      <c r="AY14" s="15" t="s">
        <v>4</v>
      </c>
      <c r="AZ14" s="15" t="s">
        <v>4</v>
      </c>
      <c r="BA14" s="15" t="s">
        <v>4</v>
      </c>
      <c r="BB14" s="15" t="s">
        <v>4</v>
      </c>
      <c r="BC14" s="15" t="s">
        <v>4</v>
      </c>
      <c r="BD14" s="15" t="s">
        <v>4</v>
      </c>
      <c r="BE14" s="15" t="s">
        <v>4</v>
      </c>
      <c r="BF14" s="15" t="s">
        <v>4</v>
      </c>
      <c r="BG14" s="15" t="s">
        <v>4</v>
      </c>
      <c r="BH14" s="15" t="s">
        <v>4</v>
      </c>
      <c r="BI14" s="15" t="s">
        <v>4</v>
      </c>
      <c r="BJ14" s="15" t="s">
        <v>4</v>
      </c>
      <c r="BK14" s="6"/>
      <c r="BL14" s="6"/>
      <c r="BM14" s="6"/>
      <c r="BN14" s="6"/>
      <c r="BO14" s="6"/>
      <c r="BP14" s="6"/>
    </row>
    <row r="15" spans="1:68" ht="111.75" customHeight="1" x14ac:dyDescent="0.2">
      <c r="A15" s="127" t="s">
        <v>108</v>
      </c>
      <c r="B15" s="127"/>
      <c r="C15" s="127"/>
      <c r="D15" s="127"/>
      <c r="E15" s="127"/>
      <c r="F15" s="16"/>
      <c r="G15" s="16"/>
      <c r="H15" s="1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68" ht="16.350000000000001" customHeight="1" thickBot="1" x14ac:dyDescent="0.3">
      <c r="A16" s="11" t="s">
        <v>19</v>
      </c>
    </row>
    <row r="17" spans="1:64" s="1" customFormat="1" ht="36.75" customHeight="1" thickBot="1" x14ac:dyDescent="0.25">
      <c r="A17" s="130" t="s">
        <v>20</v>
      </c>
      <c r="B17" s="130" t="s">
        <v>21</v>
      </c>
      <c r="C17" s="138" t="s">
        <v>22</v>
      </c>
      <c r="D17" s="139"/>
      <c r="E17" s="139"/>
      <c r="F17" s="139"/>
      <c r="G17" s="139"/>
      <c r="H17" s="140"/>
      <c r="I17" s="7"/>
      <c r="J17" s="7"/>
    </row>
    <row r="18" spans="1:64" s="1" customFormat="1" ht="68.25" customHeight="1" thickBot="1" x14ac:dyDescent="0.25">
      <c r="A18" s="131"/>
      <c r="B18" s="137"/>
      <c r="C18" s="77" t="s">
        <v>104</v>
      </c>
      <c r="D18" s="77" t="s">
        <v>105</v>
      </c>
      <c r="E18" s="77" t="s">
        <v>106</v>
      </c>
      <c r="F18" s="12" t="s">
        <v>4</v>
      </c>
      <c r="G18" s="12" t="s">
        <v>4</v>
      </c>
      <c r="H18" s="12" t="s">
        <v>4</v>
      </c>
      <c r="I18" s="12" t="s">
        <v>4</v>
      </c>
      <c r="J18" s="12" t="s">
        <v>4</v>
      </c>
      <c r="K18" s="12" t="s">
        <v>4</v>
      </c>
      <c r="L18" s="12" t="s">
        <v>4</v>
      </c>
      <c r="M18" s="12" t="s">
        <v>4</v>
      </c>
      <c r="N18" s="12" t="s">
        <v>4</v>
      </c>
      <c r="O18" s="12" t="s">
        <v>4</v>
      </c>
      <c r="P18" s="12" t="s">
        <v>4</v>
      </c>
      <c r="Q18" s="12" t="s">
        <v>4</v>
      </c>
      <c r="R18" s="12" t="s">
        <v>4</v>
      </c>
      <c r="S18" s="12" t="s">
        <v>4</v>
      </c>
      <c r="T18" s="12" t="s">
        <v>4</v>
      </c>
      <c r="U18" s="12" t="s">
        <v>4</v>
      </c>
      <c r="V18" s="12" t="s">
        <v>4</v>
      </c>
      <c r="W18" s="12" t="s">
        <v>4</v>
      </c>
      <c r="X18" s="12" t="s">
        <v>4</v>
      </c>
      <c r="Y18" s="12" t="s">
        <v>4</v>
      </c>
      <c r="Z18" s="12" t="s">
        <v>4</v>
      </c>
      <c r="AA18" s="12" t="s">
        <v>4</v>
      </c>
      <c r="AB18" s="12" t="s">
        <v>4</v>
      </c>
      <c r="AC18" s="12" t="s">
        <v>4</v>
      </c>
      <c r="AD18" s="12" t="s">
        <v>4</v>
      </c>
      <c r="AE18" s="12" t="s">
        <v>4</v>
      </c>
      <c r="AF18" s="12" t="s">
        <v>4</v>
      </c>
      <c r="AG18" s="12" t="s">
        <v>4</v>
      </c>
      <c r="AH18" s="12" t="s">
        <v>4</v>
      </c>
      <c r="AI18" s="12" t="s">
        <v>4</v>
      </c>
      <c r="AJ18" s="12" t="s">
        <v>4</v>
      </c>
      <c r="AK18" s="12" t="s">
        <v>4</v>
      </c>
      <c r="AL18" s="12" t="s">
        <v>4</v>
      </c>
      <c r="AM18" s="12" t="s">
        <v>4</v>
      </c>
      <c r="AN18" s="12" t="s">
        <v>4</v>
      </c>
      <c r="AO18" s="12" t="s">
        <v>4</v>
      </c>
      <c r="AP18" s="12" t="s">
        <v>4</v>
      </c>
      <c r="AQ18" s="12" t="s">
        <v>4</v>
      </c>
      <c r="AR18" s="12" t="s">
        <v>4</v>
      </c>
      <c r="AS18" s="12" t="s">
        <v>4</v>
      </c>
      <c r="AT18" s="12" t="s">
        <v>4</v>
      </c>
      <c r="AU18" s="12" t="s">
        <v>4</v>
      </c>
      <c r="AV18" s="12" t="s">
        <v>4</v>
      </c>
      <c r="AW18" s="12" t="s">
        <v>4</v>
      </c>
      <c r="AX18" s="12" t="s">
        <v>4</v>
      </c>
      <c r="AY18" s="12" t="s">
        <v>4</v>
      </c>
      <c r="AZ18" s="12" t="s">
        <v>4</v>
      </c>
      <c r="BA18" s="12" t="s">
        <v>4</v>
      </c>
      <c r="BB18" s="12" t="s">
        <v>4</v>
      </c>
      <c r="BC18" s="12" t="s">
        <v>4</v>
      </c>
      <c r="BD18" s="12" t="s">
        <v>4</v>
      </c>
      <c r="BE18" s="12" t="s">
        <v>4</v>
      </c>
      <c r="BF18" s="12" t="s">
        <v>4</v>
      </c>
      <c r="BG18" s="12" t="s">
        <v>4</v>
      </c>
      <c r="BH18" s="12" t="s">
        <v>4</v>
      </c>
      <c r="BI18" s="12" t="s">
        <v>4</v>
      </c>
      <c r="BJ18" s="12" t="s">
        <v>4</v>
      </c>
      <c r="BK18" s="17"/>
      <c r="BL18" s="17"/>
    </row>
    <row r="19" spans="1:64" ht="15" x14ac:dyDescent="0.25">
      <c r="A19" s="124" t="s">
        <v>25</v>
      </c>
      <c r="B19" s="26" t="s">
        <v>26</v>
      </c>
      <c r="C19" s="23" t="s">
        <v>4</v>
      </c>
      <c r="D19" s="23" t="s">
        <v>4</v>
      </c>
      <c r="E19" s="34" t="s">
        <v>4</v>
      </c>
      <c r="F19" s="78" t="s">
        <v>4</v>
      </c>
      <c r="G19" s="15" t="s">
        <v>4</v>
      </c>
      <c r="H19" s="15" t="s">
        <v>4</v>
      </c>
      <c r="I19" s="15" t="s">
        <v>4</v>
      </c>
      <c r="J19" s="15" t="s">
        <v>4</v>
      </c>
      <c r="K19" s="15" t="s">
        <v>4</v>
      </c>
      <c r="L19" s="15" t="s">
        <v>4</v>
      </c>
      <c r="M19" s="15" t="s">
        <v>4</v>
      </c>
      <c r="N19" s="15" t="s">
        <v>4</v>
      </c>
      <c r="O19" s="15" t="s">
        <v>4</v>
      </c>
      <c r="P19" s="15" t="s">
        <v>4</v>
      </c>
      <c r="Q19" s="15" t="s">
        <v>4</v>
      </c>
      <c r="R19" s="15" t="s">
        <v>4</v>
      </c>
      <c r="S19" s="15" t="s">
        <v>4</v>
      </c>
      <c r="T19" s="15" t="s">
        <v>4</v>
      </c>
      <c r="U19" s="15" t="s">
        <v>4</v>
      </c>
      <c r="V19" s="15" t="s">
        <v>4</v>
      </c>
      <c r="W19" s="15" t="s">
        <v>4</v>
      </c>
      <c r="X19" s="15" t="s">
        <v>4</v>
      </c>
      <c r="Y19" s="15" t="s">
        <v>4</v>
      </c>
      <c r="Z19" s="15" t="s">
        <v>4</v>
      </c>
      <c r="AA19" s="15" t="s">
        <v>4</v>
      </c>
      <c r="AB19" s="15" t="s">
        <v>4</v>
      </c>
      <c r="AC19" s="15" t="s">
        <v>4</v>
      </c>
      <c r="AD19" s="15" t="s">
        <v>4</v>
      </c>
      <c r="AE19" s="15" t="s">
        <v>4</v>
      </c>
      <c r="AF19" s="15" t="s">
        <v>4</v>
      </c>
      <c r="AG19" s="15" t="s">
        <v>4</v>
      </c>
      <c r="AH19" s="15" t="s">
        <v>4</v>
      </c>
      <c r="AI19" s="15" t="s">
        <v>4</v>
      </c>
      <c r="AJ19" s="15" t="s">
        <v>4</v>
      </c>
      <c r="AK19" s="15" t="s">
        <v>4</v>
      </c>
      <c r="AL19" s="15" t="s">
        <v>4</v>
      </c>
      <c r="AM19" s="15" t="s">
        <v>4</v>
      </c>
      <c r="AN19" s="15" t="s">
        <v>4</v>
      </c>
      <c r="AO19" s="15" t="s">
        <v>4</v>
      </c>
      <c r="AP19" s="15" t="s">
        <v>4</v>
      </c>
      <c r="AQ19" s="15" t="s">
        <v>4</v>
      </c>
      <c r="AR19" s="15" t="s">
        <v>4</v>
      </c>
      <c r="AS19" s="15" t="s">
        <v>4</v>
      </c>
      <c r="AT19" s="15" t="s">
        <v>4</v>
      </c>
      <c r="AU19" s="15" t="s">
        <v>4</v>
      </c>
      <c r="AV19" s="15" t="s">
        <v>4</v>
      </c>
      <c r="AW19" s="15" t="s">
        <v>4</v>
      </c>
      <c r="AX19" s="15" t="s">
        <v>4</v>
      </c>
      <c r="AY19" s="15" t="s">
        <v>4</v>
      </c>
      <c r="AZ19" s="15" t="s">
        <v>4</v>
      </c>
      <c r="BA19" s="15" t="s">
        <v>4</v>
      </c>
      <c r="BB19" s="15" t="s">
        <v>4</v>
      </c>
      <c r="BC19" s="15" t="s">
        <v>4</v>
      </c>
      <c r="BD19" s="15" t="s">
        <v>4</v>
      </c>
      <c r="BE19" s="15" t="s">
        <v>4</v>
      </c>
      <c r="BF19" s="15" t="s">
        <v>4</v>
      </c>
      <c r="BG19" s="15" t="s">
        <v>4</v>
      </c>
      <c r="BH19" s="15" t="s">
        <v>4</v>
      </c>
      <c r="BI19" s="15" t="s">
        <v>4</v>
      </c>
      <c r="BJ19" s="15" t="s">
        <v>4</v>
      </c>
    </row>
    <row r="20" spans="1:64" ht="57" x14ac:dyDescent="0.25">
      <c r="A20" s="125"/>
      <c r="B20" s="31" t="s">
        <v>49</v>
      </c>
      <c r="C20" s="33" t="s">
        <v>4</v>
      </c>
      <c r="D20" s="33" t="s">
        <v>4</v>
      </c>
      <c r="E20" s="25" t="s">
        <v>4</v>
      </c>
      <c r="F20" s="78" t="s">
        <v>4</v>
      </c>
      <c r="G20" s="15" t="s">
        <v>4</v>
      </c>
      <c r="H20" s="15" t="s">
        <v>4</v>
      </c>
      <c r="I20" s="15" t="s">
        <v>4</v>
      </c>
      <c r="J20" s="15" t="s">
        <v>4</v>
      </c>
      <c r="K20" s="15" t="s">
        <v>4</v>
      </c>
      <c r="L20" s="15" t="s">
        <v>4</v>
      </c>
      <c r="M20" s="15" t="s">
        <v>4</v>
      </c>
      <c r="N20" s="15" t="s">
        <v>4</v>
      </c>
      <c r="O20" s="15" t="s">
        <v>4</v>
      </c>
      <c r="P20" s="15" t="s">
        <v>4</v>
      </c>
      <c r="Q20" s="15" t="s">
        <v>4</v>
      </c>
      <c r="R20" s="15" t="s">
        <v>4</v>
      </c>
      <c r="S20" s="15" t="s">
        <v>4</v>
      </c>
      <c r="T20" s="15" t="s">
        <v>4</v>
      </c>
      <c r="U20" s="15" t="s">
        <v>4</v>
      </c>
      <c r="V20" s="15" t="s">
        <v>4</v>
      </c>
      <c r="W20" s="15" t="s">
        <v>4</v>
      </c>
      <c r="X20" s="15" t="s">
        <v>4</v>
      </c>
      <c r="Y20" s="15" t="s">
        <v>4</v>
      </c>
      <c r="Z20" s="15" t="s">
        <v>4</v>
      </c>
      <c r="AA20" s="15" t="s">
        <v>4</v>
      </c>
      <c r="AB20" s="15" t="s">
        <v>4</v>
      </c>
      <c r="AC20" s="15" t="s">
        <v>4</v>
      </c>
      <c r="AD20" s="15" t="s">
        <v>4</v>
      </c>
      <c r="AE20" s="15" t="s">
        <v>4</v>
      </c>
      <c r="AF20" s="15" t="s">
        <v>4</v>
      </c>
      <c r="AG20" s="15" t="s">
        <v>4</v>
      </c>
      <c r="AH20" s="15" t="s">
        <v>4</v>
      </c>
      <c r="AI20" s="15" t="s">
        <v>4</v>
      </c>
      <c r="AJ20" s="15" t="s">
        <v>4</v>
      </c>
      <c r="AK20" s="15" t="s">
        <v>4</v>
      </c>
      <c r="AL20" s="15" t="s">
        <v>4</v>
      </c>
      <c r="AM20" s="15" t="s">
        <v>4</v>
      </c>
      <c r="AN20" s="15" t="s">
        <v>4</v>
      </c>
      <c r="AO20" s="15" t="s">
        <v>4</v>
      </c>
      <c r="AP20" s="15" t="s">
        <v>4</v>
      </c>
      <c r="AQ20" s="15" t="s">
        <v>4</v>
      </c>
      <c r="AR20" s="15" t="s">
        <v>4</v>
      </c>
      <c r="AS20" s="15" t="s">
        <v>4</v>
      </c>
      <c r="AT20" s="15" t="s">
        <v>4</v>
      </c>
      <c r="AU20" s="15" t="s">
        <v>4</v>
      </c>
      <c r="AV20" s="15" t="s">
        <v>4</v>
      </c>
      <c r="AW20" s="15" t="s">
        <v>4</v>
      </c>
      <c r="AX20" s="15" t="s">
        <v>4</v>
      </c>
      <c r="AY20" s="15" t="s">
        <v>4</v>
      </c>
      <c r="AZ20" s="15" t="s">
        <v>4</v>
      </c>
      <c r="BA20" s="15" t="s">
        <v>4</v>
      </c>
      <c r="BB20" s="15" t="s">
        <v>4</v>
      </c>
      <c r="BC20" s="15" t="s">
        <v>4</v>
      </c>
      <c r="BD20" s="15" t="s">
        <v>4</v>
      </c>
      <c r="BE20" s="15" t="s">
        <v>4</v>
      </c>
      <c r="BF20" s="15" t="s">
        <v>4</v>
      </c>
      <c r="BG20" s="15" t="s">
        <v>4</v>
      </c>
      <c r="BH20" s="15" t="s">
        <v>4</v>
      </c>
      <c r="BI20" s="15" t="s">
        <v>4</v>
      </c>
      <c r="BJ20" s="15" t="s">
        <v>4</v>
      </c>
    </row>
    <row r="21" spans="1:64" ht="15" x14ac:dyDescent="0.25">
      <c r="A21" s="125"/>
      <c r="B21" s="31" t="s">
        <v>53</v>
      </c>
      <c r="C21" s="33" t="s">
        <v>4</v>
      </c>
      <c r="D21" s="33" t="s">
        <v>4</v>
      </c>
      <c r="E21" s="25" t="s">
        <v>4</v>
      </c>
      <c r="F21" s="78" t="s">
        <v>4</v>
      </c>
      <c r="G21" s="15" t="s">
        <v>4</v>
      </c>
      <c r="H21" s="15" t="s">
        <v>4</v>
      </c>
      <c r="I21" s="15" t="s">
        <v>4</v>
      </c>
      <c r="J21" s="15" t="s">
        <v>4</v>
      </c>
      <c r="K21" s="15" t="s">
        <v>4</v>
      </c>
      <c r="L21" s="15" t="s">
        <v>4</v>
      </c>
      <c r="M21" s="15" t="s">
        <v>4</v>
      </c>
      <c r="N21" s="15" t="s">
        <v>4</v>
      </c>
      <c r="O21" s="15" t="s">
        <v>4</v>
      </c>
      <c r="P21" s="15" t="s">
        <v>4</v>
      </c>
      <c r="Q21" s="15" t="s">
        <v>4</v>
      </c>
      <c r="R21" s="15" t="s">
        <v>4</v>
      </c>
      <c r="S21" s="15" t="s">
        <v>4</v>
      </c>
      <c r="T21" s="15" t="s">
        <v>4</v>
      </c>
      <c r="U21" s="15" t="s">
        <v>4</v>
      </c>
      <c r="V21" s="15" t="s">
        <v>4</v>
      </c>
      <c r="W21" s="15" t="s">
        <v>4</v>
      </c>
      <c r="X21" s="15" t="s">
        <v>4</v>
      </c>
      <c r="Y21" s="15" t="s">
        <v>4</v>
      </c>
      <c r="Z21" s="15" t="s">
        <v>4</v>
      </c>
      <c r="AA21" s="15" t="s">
        <v>4</v>
      </c>
      <c r="AB21" s="15" t="s">
        <v>4</v>
      </c>
      <c r="AC21" s="15" t="s">
        <v>4</v>
      </c>
      <c r="AD21" s="15" t="s">
        <v>4</v>
      </c>
      <c r="AE21" s="15" t="s">
        <v>4</v>
      </c>
      <c r="AF21" s="15" t="s">
        <v>4</v>
      </c>
      <c r="AG21" s="15" t="s">
        <v>4</v>
      </c>
      <c r="AH21" s="15" t="s">
        <v>4</v>
      </c>
      <c r="AI21" s="15" t="s">
        <v>4</v>
      </c>
      <c r="AJ21" s="15" t="s">
        <v>4</v>
      </c>
      <c r="AK21" s="15" t="s">
        <v>4</v>
      </c>
      <c r="AL21" s="15" t="s">
        <v>4</v>
      </c>
      <c r="AM21" s="15" t="s">
        <v>4</v>
      </c>
      <c r="AN21" s="15" t="s">
        <v>4</v>
      </c>
      <c r="AO21" s="15" t="s">
        <v>4</v>
      </c>
      <c r="AP21" s="15" t="s">
        <v>4</v>
      </c>
      <c r="AQ21" s="15" t="s">
        <v>4</v>
      </c>
      <c r="AR21" s="15" t="s">
        <v>4</v>
      </c>
      <c r="AS21" s="15" t="s">
        <v>4</v>
      </c>
      <c r="AT21" s="15" t="s">
        <v>4</v>
      </c>
      <c r="AU21" s="15" t="s">
        <v>4</v>
      </c>
      <c r="AV21" s="15" t="s">
        <v>4</v>
      </c>
      <c r="AW21" s="15" t="s">
        <v>4</v>
      </c>
      <c r="AX21" s="15" t="s">
        <v>4</v>
      </c>
      <c r="AY21" s="15" t="s">
        <v>4</v>
      </c>
      <c r="AZ21" s="15" t="s">
        <v>4</v>
      </c>
      <c r="BA21" s="15" t="s">
        <v>4</v>
      </c>
      <c r="BB21" s="15" t="s">
        <v>4</v>
      </c>
      <c r="BC21" s="15" t="s">
        <v>4</v>
      </c>
      <c r="BD21" s="15" t="s">
        <v>4</v>
      </c>
      <c r="BE21" s="15" t="s">
        <v>4</v>
      </c>
      <c r="BF21" s="15" t="s">
        <v>4</v>
      </c>
      <c r="BG21" s="15" t="s">
        <v>4</v>
      </c>
      <c r="BH21" s="15" t="s">
        <v>4</v>
      </c>
      <c r="BI21" s="15" t="s">
        <v>4</v>
      </c>
      <c r="BJ21" s="15" t="s">
        <v>4</v>
      </c>
    </row>
    <row r="22" spans="1:64" ht="42.75" x14ac:dyDescent="0.25">
      <c r="A22" s="125"/>
      <c r="B22" s="31" t="s">
        <v>50</v>
      </c>
      <c r="C22" s="33" t="s">
        <v>4</v>
      </c>
      <c r="D22" s="33" t="s">
        <v>4</v>
      </c>
      <c r="E22" s="25" t="s">
        <v>4</v>
      </c>
      <c r="F22" s="78" t="s">
        <v>4</v>
      </c>
      <c r="G22" s="15" t="s">
        <v>4</v>
      </c>
      <c r="H22" s="15" t="s">
        <v>4</v>
      </c>
      <c r="I22" s="15" t="s">
        <v>4</v>
      </c>
      <c r="J22" s="15" t="s">
        <v>4</v>
      </c>
      <c r="K22" s="15" t="s">
        <v>4</v>
      </c>
      <c r="L22" s="15" t="s">
        <v>4</v>
      </c>
      <c r="M22" s="15" t="s">
        <v>4</v>
      </c>
      <c r="N22" s="15" t="s">
        <v>4</v>
      </c>
      <c r="O22" s="15" t="s">
        <v>4</v>
      </c>
      <c r="P22" s="15" t="s">
        <v>4</v>
      </c>
      <c r="Q22" s="15" t="s">
        <v>4</v>
      </c>
      <c r="R22" s="15" t="s">
        <v>4</v>
      </c>
      <c r="S22" s="15" t="s">
        <v>4</v>
      </c>
      <c r="T22" s="15" t="s">
        <v>4</v>
      </c>
      <c r="U22" s="15" t="s">
        <v>4</v>
      </c>
      <c r="V22" s="15" t="s">
        <v>4</v>
      </c>
      <c r="W22" s="15" t="s">
        <v>4</v>
      </c>
      <c r="X22" s="15" t="s">
        <v>4</v>
      </c>
      <c r="Y22" s="15" t="s">
        <v>4</v>
      </c>
      <c r="Z22" s="15" t="s">
        <v>4</v>
      </c>
      <c r="AA22" s="15" t="s">
        <v>4</v>
      </c>
      <c r="AB22" s="15" t="s">
        <v>4</v>
      </c>
      <c r="AC22" s="15" t="s">
        <v>4</v>
      </c>
      <c r="AD22" s="15" t="s">
        <v>4</v>
      </c>
      <c r="AE22" s="15" t="s">
        <v>4</v>
      </c>
      <c r="AF22" s="15" t="s">
        <v>4</v>
      </c>
      <c r="AG22" s="15" t="s">
        <v>4</v>
      </c>
      <c r="AH22" s="15" t="s">
        <v>4</v>
      </c>
      <c r="AI22" s="15" t="s">
        <v>4</v>
      </c>
      <c r="AJ22" s="15" t="s">
        <v>4</v>
      </c>
      <c r="AK22" s="15" t="s">
        <v>4</v>
      </c>
      <c r="AL22" s="15" t="s">
        <v>4</v>
      </c>
      <c r="AM22" s="15" t="s">
        <v>4</v>
      </c>
      <c r="AN22" s="15" t="s">
        <v>4</v>
      </c>
      <c r="AO22" s="15" t="s">
        <v>4</v>
      </c>
      <c r="AP22" s="15" t="s">
        <v>4</v>
      </c>
      <c r="AQ22" s="15" t="s">
        <v>4</v>
      </c>
      <c r="AR22" s="15" t="s">
        <v>4</v>
      </c>
      <c r="AS22" s="15" t="s">
        <v>4</v>
      </c>
      <c r="AT22" s="15" t="s">
        <v>4</v>
      </c>
      <c r="AU22" s="15" t="s">
        <v>4</v>
      </c>
      <c r="AV22" s="15" t="s">
        <v>4</v>
      </c>
      <c r="AW22" s="15" t="s">
        <v>4</v>
      </c>
      <c r="AX22" s="15" t="s">
        <v>4</v>
      </c>
      <c r="AY22" s="15" t="s">
        <v>4</v>
      </c>
      <c r="AZ22" s="15" t="s">
        <v>4</v>
      </c>
      <c r="BA22" s="15" t="s">
        <v>4</v>
      </c>
      <c r="BB22" s="15" t="s">
        <v>4</v>
      </c>
      <c r="BC22" s="15" t="s">
        <v>4</v>
      </c>
      <c r="BD22" s="15" t="s">
        <v>4</v>
      </c>
      <c r="BE22" s="15" t="s">
        <v>4</v>
      </c>
      <c r="BF22" s="15" t="s">
        <v>4</v>
      </c>
      <c r="BG22" s="15" t="s">
        <v>4</v>
      </c>
      <c r="BH22" s="15" t="s">
        <v>4</v>
      </c>
      <c r="BI22" s="15" t="s">
        <v>4</v>
      </c>
      <c r="BJ22" s="15" t="s">
        <v>4</v>
      </c>
    </row>
    <row r="23" spans="1:64" ht="85.5" x14ac:dyDescent="0.25">
      <c r="A23" s="125"/>
      <c r="B23" s="31" t="s">
        <v>51</v>
      </c>
      <c r="C23" s="33" t="s">
        <v>4</v>
      </c>
      <c r="D23" s="33" t="s">
        <v>4</v>
      </c>
      <c r="E23" s="25" t="s">
        <v>4</v>
      </c>
      <c r="F23" s="78" t="s">
        <v>4</v>
      </c>
      <c r="G23" s="15" t="s">
        <v>4</v>
      </c>
      <c r="H23" s="15" t="s">
        <v>4</v>
      </c>
      <c r="I23" s="15" t="s">
        <v>4</v>
      </c>
      <c r="J23" s="15" t="s">
        <v>4</v>
      </c>
      <c r="K23" s="15" t="s">
        <v>4</v>
      </c>
      <c r="L23" s="15" t="s">
        <v>4</v>
      </c>
      <c r="M23" s="15" t="s">
        <v>4</v>
      </c>
      <c r="N23" s="15" t="s">
        <v>4</v>
      </c>
      <c r="O23" s="15" t="s">
        <v>4</v>
      </c>
      <c r="P23" s="15" t="s">
        <v>4</v>
      </c>
      <c r="Q23" s="15" t="s">
        <v>4</v>
      </c>
      <c r="R23" s="15" t="s">
        <v>4</v>
      </c>
      <c r="S23" s="15" t="s">
        <v>4</v>
      </c>
      <c r="T23" s="15" t="s">
        <v>4</v>
      </c>
      <c r="U23" s="15" t="s">
        <v>4</v>
      </c>
      <c r="V23" s="15" t="s">
        <v>4</v>
      </c>
      <c r="W23" s="15" t="s">
        <v>4</v>
      </c>
      <c r="X23" s="15" t="s">
        <v>4</v>
      </c>
      <c r="Y23" s="15" t="s">
        <v>4</v>
      </c>
      <c r="Z23" s="15" t="s">
        <v>4</v>
      </c>
      <c r="AA23" s="15" t="s">
        <v>4</v>
      </c>
      <c r="AB23" s="15" t="s">
        <v>4</v>
      </c>
      <c r="AC23" s="15" t="s">
        <v>4</v>
      </c>
      <c r="AD23" s="15" t="s">
        <v>4</v>
      </c>
      <c r="AE23" s="15" t="s">
        <v>4</v>
      </c>
      <c r="AF23" s="15" t="s">
        <v>4</v>
      </c>
      <c r="AG23" s="15" t="s">
        <v>4</v>
      </c>
      <c r="AH23" s="15" t="s">
        <v>4</v>
      </c>
      <c r="AI23" s="15" t="s">
        <v>4</v>
      </c>
      <c r="AJ23" s="15" t="s">
        <v>4</v>
      </c>
      <c r="AK23" s="15" t="s">
        <v>4</v>
      </c>
      <c r="AL23" s="15" t="s">
        <v>4</v>
      </c>
      <c r="AM23" s="15" t="s">
        <v>4</v>
      </c>
      <c r="AN23" s="15" t="s">
        <v>4</v>
      </c>
      <c r="AO23" s="15" t="s">
        <v>4</v>
      </c>
      <c r="AP23" s="15" t="s">
        <v>4</v>
      </c>
      <c r="AQ23" s="15" t="s">
        <v>4</v>
      </c>
      <c r="AR23" s="15" t="s">
        <v>4</v>
      </c>
      <c r="AS23" s="15" t="s">
        <v>4</v>
      </c>
      <c r="AT23" s="15" t="s">
        <v>4</v>
      </c>
      <c r="AU23" s="15" t="s">
        <v>4</v>
      </c>
      <c r="AV23" s="15" t="s">
        <v>4</v>
      </c>
      <c r="AW23" s="15" t="s">
        <v>4</v>
      </c>
      <c r="AX23" s="15" t="s">
        <v>4</v>
      </c>
      <c r="AY23" s="15" t="s">
        <v>4</v>
      </c>
      <c r="AZ23" s="15" t="s">
        <v>4</v>
      </c>
      <c r="BA23" s="15" t="s">
        <v>4</v>
      </c>
      <c r="BB23" s="15" t="s">
        <v>4</v>
      </c>
      <c r="BC23" s="15" t="s">
        <v>4</v>
      </c>
      <c r="BD23" s="15" t="s">
        <v>4</v>
      </c>
      <c r="BE23" s="15" t="s">
        <v>4</v>
      </c>
      <c r="BF23" s="15" t="s">
        <v>4</v>
      </c>
      <c r="BG23" s="15" t="s">
        <v>4</v>
      </c>
      <c r="BH23" s="15" t="s">
        <v>4</v>
      </c>
      <c r="BI23" s="15" t="s">
        <v>4</v>
      </c>
      <c r="BJ23" s="15" t="s">
        <v>4</v>
      </c>
    </row>
    <row r="24" spans="1:64" ht="15.75" thickBot="1" x14ac:dyDescent="0.25">
      <c r="A24" s="126"/>
      <c r="B24" s="30" t="s">
        <v>23</v>
      </c>
      <c r="C24" s="27" t="s">
        <v>4</v>
      </c>
      <c r="D24" s="27" t="s">
        <v>4</v>
      </c>
      <c r="E24" s="37" t="s">
        <v>4</v>
      </c>
      <c r="F24" s="24" t="s">
        <v>4</v>
      </c>
      <c r="G24" s="19" t="s">
        <v>4</v>
      </c>
      <c r="H24" s="19" t="s">
        <v>4</v>
      </c>
      <c r="I24" s="19" t="s">
        <v>4</v>
      </c>
      <c r="J24" s="19" t="s">
        <v>4</v>
      </c>
      <c r="K24" s="19" t="s">
        <v>4</v>
      </c>
      <c r="L24" s="19" t="s">
        <v>4</v>
      </c>
      <c r="M24" s="19" t="s">
        <v>4</v>
      </c>
      <c r="N24" s="19" t="s">
        <v>4</v>
      </c>
      <c r="O24" s="19" t="s">
        <v>4</v>
      </c>
      <c r="P24" s="19" t="s">
        <v>4</v>
      </c>
      <c r="Q24" s="19" t="s">
        <v>4</v>
      </c>
      <c r="R24" s="19" t="s">
        <v>4</v>
      </c>
      <c r="S24" s="19" t="s">
        <v>4</v>
      </c>
      <c r="T24" s="19" t="s">
        <v>4</v>
      </c>
      <c r="U24" s="19" t="s">
        <v>4</v>
      </c>
      <c r="V24" s="19" t="s">
        <v>4</v>
      </c>
      <c r="W24" s="19" t="s">
        <v>4</v>
      </c>
      <c r="X24" s="19" t="s">
        <v>4</v>
      </c>
      <c r="Y24" s="19" t="s">
        <v>4</v>
      </c>
      <c r="Z24" s="19" t="s">
        <v>4</v>
      </c>
      <c r="AA24" s="19" t="s">
        <v>4</v>
      </c>
      <c r="AB24" s="19" t="s">
        <v>4</v>
      </c>
      <c r="AC24" s="19" t="s">
        <v>4</v>
      </c>
      <c r="AD24" s="19" t="s">
        <v>4</v>
      </c>
      <c r="AE24" s="19" t="s">
        <v>4</v>
      </c>
      <c r="AF24" s="19" t="s">
        <v>4</v>
      </c>
      <c r="AG24" s="19" t="s">
        <v>4</v>
      </c>
      <c r="AH24" s="19" t="s">
        <v>4</v>
      </c>
      <c r="AI24" s="19" t="s">
        <v>4</v>
      </c>
      <c r="AJ24" s="19" t="s">
        <v>4</v>
      </c>
      <c r="AK24" s="19" t="s">
        <v>4</v>
      </c>
      <c r="AL24" s="19" t="s">
        <v>4</v>
      </c>
      <c r="AM24" s="19" t="s">
        <v>4</v>
      </c>
      <c r="AN24" s="19" t="s">
        <v>4</v>
      </c>
      <c r="AO24" s="19" t="s">
        <v>4</v>
      </c>
      <c r="AP24" s="19" t="s">
        <v>4</v>
      </c>
      <c r="AQ24" s="19" t="s">
        <v>4</v>
      </c>
      <c r="AR24" s="19" t="s">
        <v>4</v>
      </c>
      <c r="AS24" s="19" t="s">
        <v>4</v>
      </c>
      <c r="AT24" s="19" t="s">
        <v>4</v>
      </c>
      <c r="AU24" s="19" t="s">
        <v>4</v>
      </c>
      <c r="AV24" s="19" t="s">
        <v>4</v>
      </c>
      <c r="AW24" s="19" t="s">
        <v>4</v>
      </c>
      <c r="AX24" s="19" t="s">
        <v>4</v>
      </c>
      <c r="AY24" s="19" t="s">
        <v>4</v>
      </c>
      <c r="AZ24" s="19" t="s">
        <v>4</v>
      </c>
      <c r="BA24" s="19" t="s">
        <v>4</v>
      </c>
      <c r="BB24" s="19" t="s">
        <v>4</v>
      </c>
      <c r="BC24" s="19" t="s">
        <v>4</v>
      </c>
      <c r="BD24" s="19" t="s">
        <v>4</v>
      </c>
      <c r="BE24" s="19" t="s">
        <v>4</v>
      </c>
      <c r="BF24" s="19" t="s">
        <v>4</v>
      </c>
      <c r="BG24" s="19" t="s">
        <v>4</v>
      </c>
      <c r="BH24" s="19" t="s">
        <v>4</v>
      </c>
      <c r="BI24" s="19" t="s">
        <v>4</v>
      </c>
      <c r="BJ24" s="19" t="s">
        <v>4</v>
      </c>
    </row>
    <row r="25" spans="1:64" ht="15.75" customHeight="1" x14ac:dyDescent="0.25">
      <c r="A25" s="124" t="s">
        <v>27</v>
      </c>
      <c r="B25" s="29" t="s">
        <v>28</v>
      </c>
      <c r="C25" s="38" t="s">
        <v>4</v>
      </c>
      <c r="D25" s="38" t="s">
        <v>4</v>
      </c>
      <c r="E25" s="32" t="s">
        <v>4</v>
      </c>
      <c r="F25" s="78" t="s">
        <v>4</v>
      </c>
      <c r="G25" s="15" t="s">
        <v>4</v>
      </c>
      <c r="H25" s="15" t="s">
        <v>4</v>
      </c>
      <c r="I25" s="15" t="s">
        <v>4</v>
      </c>
      <c r="J25" s="15" t="s">
        <v>4</v>
      </c>
      <c r="K25" s="15" t="s">
        <v>4</v>
      </c>
      <c r="L25" s="15" t="s">
        <v>4</v>
      </c>
      <c r="M25" s="15" t="s">
        <v>4</v>
      </c>
      <c r="N25" s="15" t="s">
        <v>4</v>
      </c>
      <c r="O25" s="15" t="s">
        <v>4</v>
      </c>
      <c r="P25" s="15" t="s">
        <v>4</v>
      </c>
      <c r="Q25" s="15" t="s">
        <v>4</v>
      </c>
      <c r="R25" s="15" t="s">
        <v>4</v>
      </c>
      <c r="S25" s="15" t="s">
        <v>4</v>
      </c>
      <c r="T25" s="15" t="s">
        <v>4</v>
      </c>
      <c r="U25" s="15" t="s">
        <v>4</v>
      </c>
      <c r="V25" s="15" t="s">
        <v>4</v>
      </c>
      <c r="W25" s="15" t="s">
        <v>4</v>
      </c>
      <c r="X25" s="15" t="s">
        <v>4</v>
      </c>
      <c r="Y25" s="15" t="s">
        <v>4</v>
      </c>
      <c r="Z25" s="15" t="s">
        <v>4</v>
      </c>
      <c r="AA25" s="15" t="s">
        <v>4</v>
      </c>
      <c r="AB25" s="15" t="s">
        <v>4</v>
      </c>
      <c r="AC25" s="15" t="s">
        <v>4</v>
      </c>
      <c r="AD25" s="15" t="s">
        <v>4</v>
      </c>
      <c r="AE25" s="15" t="s">
        <v>4</v>
      </c>
      <c r="AF25" s="15" t="s">
        <v>4</v>
      </c>
      <c r="AG25" s="15" t="s">
        <v>4</v>
      </c>
      <c r="AH25" s="15" t="s">
        <v>4</v>
      </c>
      <c r="AI25" s="15" t="s">
        <v>4</v>
      </c>
      <c r="AJ25" s="15" t="s">
        <v>4</v>
      </c>
      <c r="AK25" s="15" t="s">
        <v>4</v>
      </c>
      <c r="AL25" s="15" t="s">
        <v>4</v>
      </c>
      <c r="AM25" s="15" t="s">
        <v>4</v>
      </c>
      <c r="AN25" s="15" t="s">
        <v>4</v>
      </c>
      <c r="AO25" s="15" t="s">
        <v>4</v>
      </c>
      <c r="AP25" s="15" t="s">
        <v>4</v>
      </c>
      <c r="AQ25" s="15" t="s">
        <v>4</v>
      </c>
      <c r="AR25" s="15" t="s">
        <v>4</v>
      </c>
      <c r="AS25" s="15" t="s">
        <v>4</v>
      </c>
      <c r="AT25" s="15" t="s">
        <v>4</v>
      </c>
      <c r="AU25" s="15" t="s">
        <v>4</v>
      </c>
      <c r="AV25" s="15" t="s">
        <v>4</v>
      </c>
      <c r="AW25" s="15" t="s">
        <v>4</v>
      </c>
      <c r="AX25" s="15" t="s">
        <v>4</v>
      </c>
      <c r="AY25" s="15" t="s">
        <v>4</v>
      </c>
      <c r="AZ25" s="15" t="s">
        <v>4</v>
      </c>
      <c r="BA25" s="15" t="s">
        <v>4</v>
      </c>
      <c r="BB25" s="15" t="s">
        <v>4</v>
      </c>
      <c r="BC25" s="15" t="s">
        <v>4</v>
      </c>
      <c r="BD25" s="15" t="s">
        <v>4</v>
      </c>
      <c r="BE25" s="15" t="s">
        <v>4</v>
      </c>
      <c r="BF25" s="15" t="s">
        <v>4</v>
      </c>
      <c r="BG25" s="15" t="s">
        <v>4</v>
      </c>
      <c r="BH25" s="15" t="s">
        <v>4</v>
      </c>
      <c r="BI25" s="15" t="s">
        <v>4</v>
      </c>
      <c r="BJ25" s="15" t="s">
        <v>4</v>
      </c>
    </row>
    <row r="26" spans="1:64" ht="42.75" x14ac:dyDescent="0.25">
      <c r="A26" s="125"/>
      <c r="B26" s="31" t="s">
        <v>52</v>
      </c>
      <c r="C26" s="33" t="s">
        <v>4</v>
      </c>
      <c r="D26" s="33" t="s">
        <v>4</v>
      </c>
      <c r="E26" s="25" t="s">
        <v>4</v>
      </c>
      <c r="F26" s="78" t="s">
        <v>4</v>
      </c>
      <c r="G26" s="15" t="s">
        <v>4</v>
      </c>
      <c r="H26" s="15" t="s">
        <v>4</v>
      </c>
      <c r="I26" s="15" t="s">
        <v>4</v>
      </c>
      <c r="J26" s="15" t="s">
        <v>4</v>
      </c>
      <c r="K26" s="15" t="s">
        <v>4</v>
      </c>
      <c r="L26" s="15" t="s">
        <v>4</v>
      </c>
      <c r="M26" s="15" t="s">
        <v>4</v>
      </c>
      <c r="N26" s="15" t="s">
        <v>4</v>
      </c>
      <c r="O26" s="15" t="s">
        <v>4</v>
      </c>
      <c r="P26" s="15" t="s">
        <v>4</v>
      </c>
      <c r="Q26" s="15" t="s">
        <v>4</v>
      </c>
      <c r="R26" s="15" t="s">
        <v>4</v>
      </c>
      <c r="S26" s="15" t="s">
        <v>4</v>
      </c>
      <c r="T26" s="15" t="s">
        <v>4</v>
      </c>
      <c r="U26" s="15" t="s">
        <v>4</v>
      </c>
      <c r="V26" s="15" t="s">
        <v>4</v>
      </c>
      <c r="W26" s="15" t="s">
        <v>4</v>
      </c>
      <c r="X26" s="15" t="s">
        <v>4</v>
      </c>
      <c r="Y26" s="15" t="s">
        <v>4</v>
      </c>
      <c r="Z26" s="15" t="s">
        <v>4</v>
      </c>
      <c r="AA26" s="15" t="s">
        <v>4</v>
      </c>
      <c r="AB26" s="15" t="s">
        <v>4</v>
      </c>
      <c r="AC26" s="15" t="s">
        <v>4</v>
      </c>
      <c r="AD26" s="15" t="s">
        <v>4</v>
      </c>
      <c r="AE26" s="15" t="s">
        <v>4</v>
      </c>
      <c r="AF26" s="15" t="s">
        <v>4</v>
      </c>
      <c r="AG26" s="15" t="s">
        <v>4</v>
      </c>
      <c r="AH26" s="15" t="s">
        <v>4</v>
      </c>
      <c r="AI26" s="15" t="s">
        <v>4</v>
      </c>
      <c r="AJ26" s="15" t="s">
        <v>4</v>
      </c>
      <c r="AK26" s="15" t="s">
        <v>4</v>
      </c>
      <c r="AL26" s="15" t="s">
        <v>4</v>
      </c>
      <c r="AM26" s="15" t="s">
        <v>4</v>
      </c>
      <c r="AN26" s="15" t="s">
        <v>4</v>
      </c>
      <c r="AO26" s="15" t="s">
        <v>4</v>
      </c>
      <c r="AP26" s="15" t="s">
        <v>4</v>
      </c>
      <c r="AQ26" s="15" t="s">
        <v>4</v>
      </c>
      <c r="AR26" s="15" t="s">
        <v>4</v>
      </c>
      <c r="AS26" s="15" t="s">
        <v>4</v>
      </c>
      <c r="AT26" s="15" t="s">
        <v>4</v>
      </c>
      <c r="AU26" s="15" t="s">
        <v>4</v>
      </c>
      <c r="AV26" s="15" t="s">
        <v>4</v>
      </c>
      <c r="AW26" s="15" t="s">
        <v>4</v>
      </c>
      <c r="AX26" s="15" t="s">
        <v>4</v>
      </c>
      <c r="AY26" s="15" t="s">
        <v>4</v>
      </c>
      <c r="AZ26" s="15" t="s">
        <v>4</v>
      </c>
      <c r="BA26" s="15" t="s">
        <v>4</v>
      </c>
      <c r="BB26" s="15" t="s">
        <v>4</v>
      </c>
      <c r="BC26" s="15" t="s">
        <v>4</v>
      </c>
      <c r="BD26" s="15" t="s">
        <v>4</v>
      </c>
      <c r="BE26" s="15" t="s">
        <v>4</v>
      </c>
      <c r="BF26" s="15" t="s">
        <v>4</v>
      </c>
      <c r="BG26" s="15" t="s">
        <v>4</v>
      </c>
      <c r="BH26" s="15" t="s">
        <v>4</v>
      </c>
      <c r="BI26" s="15" t="s">
        <v>4</v>
      </c>
      <c r="BJ26" s="15" t="s">
        <v>4</v>
      </c>
    </row>
    <row r="27" spans="1:64" ht="128.25" x14ac:dyDescent="0.25">
      <c r="A27" s="125"/>
      <c r="B27" s="31" t="s">
        <v>47</v>
      </c>
      <c r="C27" s="33" t="s">
        <v>4</v>
      </c>
      <c r="D27" s="33" t="s">
        <v>4</v>
      </c>
      <c r="E27" s="25" t="s">
        <v>4</v>
      </c>
      <c r="F27" s="78" t="s">
        <v>4</v>
      </c>
      <c r="G27" s="15" t="s">
        <v>4</v>
      </c>
      <c r="H27" s="15" t="s">
        <v>4</v>
      </c>
      <c r="I27" s="15" t="s">
        <v>4</v>
      </c>
      <c r="J27" s="15" t="s">
        <v>4</v>
      </c>
      <c r="K27" s="15" t="s">
        <v>4</v>
      </c>
      <c r="L27" s="15" t="s">
        <v>4</v>
      </c>
      <c r="M27" s="15" t="s">
        <v>4</v>
      </c>
      <c r="N27" s="15" t="s">
        <v>4</v>
      </c>
      <c r="O27" s="15" t="s">
        <v>4</v>
      </c>
      <c r="P27" s="15" t="s">
        <v>4</v>
      </c>
      <c r="Q27" s="15" t="s">
        <v>4</v>
      </c>
      <c r="R27" s="15" t="s">
        <v>4</v>
      </c>
      <c r="S27" s="15" t="s">
        <v>4</v>
      </c>
      <c r="T27" s="15" t="s">
        <v>4</v>
      </c>
      <c r="U27" s="15" t="s">
        <v>4</v>
      </c>
      <c r="V27" s="15" t="s">
        <v>4</v>
      </c>
      <c r="W27" s="15" t="s">
        <v>4</v>
      </c>
      <c r="X27" s="15" t="s">
        <v>4</v>
      </c>
      <c r="Y27" s="15" t="s">
        <v>4</v>
      </c>
      <c r="Z27" s="15" t="s">
        <v>4</v>
      </c>
      <c r="AA27" s="15" t="s">
        <v>4</v>
      </c>
      <c r="AB27" s="15" t="s">
        <v>4</v>
      </c>
      <c r="AC27" s="15" t="s">
        <v>4</v>
      </c>
      <c r="AD27" s="15" t="s">
        <v>4</v>
      </c>
      <c r="AE27" s="15" t="s">
        <v>4</v>
      </c>
      <c r="AF27" s="15" t="s">
        <v>4</v>
      </c>
      <c r="AG27" s="15" t="s">
        <v>4</v>
      </c>
      <c r="AH27" s="15" t="s">
        <v>4</v>
      </c>
      <c r="AI27" s="15" t="s">
        <v>4</v>
      </c>
      <c r="AJ27" s="15" t="s">
        <v>4</v>
      </c>
      <c r="AK27" s="15" t="s">
        <v>4</v>
      </c>
      <c r="AL27" s="15" t="s">
        <v>4</v>
      </c>
      <c r="AM27" s="15" t="s">
        <v>4</v>
      </c>
      <c r="AN27" s="15" t="s">
        <v>4</v>
      </c>
      <c r="AO27" s="15" t="s">
        <v>4</v>
      </c>
      <c r="AP27" s="15" t="s">
        <v>4</v>
      </c>
      <c r="AQ27" s="15" t="s">
        <v>4</v>
      </c>
      <c r="AR27" s="15" t="s">
        <v>4</v>
      </c>
      <c r="AS27" s="15" t="s">
        <v>4</v>
      </c>
      <c r="AT27" s="15" t="s">
        <v>4</v>
      </c>
      <c r="AU27" s="15" t="s">
        <v>4</v>
      </c>
      <c r="AV27" s="15" t="s">
        <v>4</v>
      </c>
      <c r="AW27" s="15" t="s">
        <v>4</v>
      </c>
      <c r="AX27" s="15" t="s">
        <v>4</v>
      </c>
      <c r="AY27" s="15" t="s">
        <v>4</v>
      </c>
      <c r="AZ27" s="15" t="s">
        <v>4</v>
      </c>
      <c r="BA27" s="15" t="s">
        <v>4</v>
      </c>
      <c r="BB27" s="15" t="s">
        <v>4</v>
      </c>
      <c r="BC27" s="15" t="s">
        <v>4</v>
      </c>
      <c r="BD27" s="15" t="s">
        <v>4</v>
      </c>
      <c r="BE27" s="15" t="s">
        <v>4</v>
      </c>
      <c r="BF27" s="15" t="s">
        <v>4</v>
      </c>
      <c r="BG27" s="15" t="s">
        <v>4</v>
      </c>
      <c r="BH27" s="15" t="s">
        <v>4</v>
      </c>
      <c r="BI27" s="15" t="s">
        <v>4</v>
      </c>
      <c r="BJ27" s="15" t="s">
        <v>4</v>
      </c>
    </row>
    <row r="28" spans="1:64" ht="15" x14ac:dyDescent="0.25">
      <c r="A28" s="125"/>
      <c r="B28" s="31" t="s">
        <v>34</v>
      </c>
      <c r="C28" s="33" t="s">
        <v>4</v>
      </c>
      <c r="D28" s="33" t="s">
        <v>4</v>
      </c>
      <c r="E28" s="25" t="s">
        <v>4</v>
      </c>
      <c r="F28" s="78" t="s">
        <v>4</v>
      </c>
      <c r="G28" s="15" t="s">
        <v>4</v>
      </c>
      <c r="H28" s="15" t="s">
        <v>4</v>
      </c>
      <c r="I28" s="15" t="s">
        <v>4</v>
      </c>
      <c r="J28" s="15" t="s">
        <v>4</v>
      </c>
      <c r="K28" s="15" t="s">
        <v>4</v>
      </c>
      <c r="L28" s="15" t="s">
        <v>4</v>
      </c>
      <c r="M28" s="15" t="s">
        <v>4</v>
      </c>
      <c r="N28" s="15" t="s">
        <v>4</v>
      </c>
      <c r="O28" s="15" t="s">
        <v>4</v>
      </c>
      <c r="P28" s="15" t="s">
        <v>4</v>
      </c>
      <c r="Q28" s="15" t="s">
        <v>4</v>
      </c>
      <c r="R28" s="15" t="s">
        <v>4</v>
      </c>
      <c r="S28" s="15" t="s">
        <v>4</v>
      </c>
      <c r="T28" s="15" t="s">
        <v>4</v>
      </c>
      <c r="U28" s="15" t="s">
        <v>4</v>
      </c>
      <c r="V28" s="15" t="s">
        <v>4</v>
      </c>
      <c r="W28" s="15" t="s">
        <v>4</v>
      </c>
      <c r="X28" s="15" t="s">
        <v>4</v>
      </c>
      <c r="Y28" s="15" t="s">
        <v>4</v>
      </c>
      <c r="Z28" s="15" t="s">
        <v>4</v>
      </c>
      <c r="AA28" s="15" t="s">
        <v>4</v>
      </c>
      <c r="AB28" s="15" t="s">
        <v>4</v>
      </c>
      <c r="AC28" s="15" t="s">
        <v>4</v>
      </c>
      <c r="AD28" s="15" t="s">
        <v>4</v>
      </c>
      <c r="AE28" s="15" t="s">
        <v>4</v>
      </c>
      <c r="AF28" s="15" t="s">
        <v>4</v>
      </c>
      <c r="AG28" s="15" t="s">
        <v>4</v>
      </c>
      <c r="AH28" s="15" t="s">
        <v>4</v>
      </c>
      <c r="AI28" s="15" t="s">
        <v>4</v>
      </c>
      <c r="AJ28" s="15" t="s">
        <v>4</v>
      </c>
      <c r="AK28" s="15" t="s">
        <v>4</v>
      </c>
      <c r="AL28" s="15" t="s">
        <v>4</v>
      </c>
      <c r="AM28" s="15" t="s">
        <v>4</v>
      </c>
      <c r="AN28" s="15" t="s">
        <v>4</v>
      </c>
      <c r="AO28" s="15" t="s">
        <v>4</v>
      </c>
      <c r="AP28" s="15" t="s">
        <v>4</v>
      </c>
      <c r="AQ28" s="15" t="s">
        <v>4</v>
      </c>
      <c r="AR28" s="15" t="s">
        <v>4</v>
      </c>
      <c r="AS28" s="15" t="s">
        <v>4</v>
      </c>
      <c r="AT28" s="15" t="s">
        <v>4</v>
      </c>
      <c r="AU28" s="15" t="s">
        <v>4</v>
      </c>
      <c r="AV28" s="15" t="s">
        <v>4</v>
      </c>
      <c r="AW28" s="15" t="s">
        <v>4</v>
      </c>
      <c r="AX28" s="15" t="s">
        <v>4</v>
      </c>
      <c r="AY28" s="15" t="s">
        <v>4</v>
      </c>
      <c r="AZ28" s="15" t="s">
        <v>4</v>
      </c>
      <c r="BA28" s="15" t="s">
        <v>4</v>
      </c>
      <c r="BB28" s="15" t="s">
        <v>4</v>
      </c>
      <c r="BC28" s="15" t="s">
        <v>4</v>
      </c>
      <c r="BD28" s="15" t="s">
        <v>4</v>
      </c>
      <c r="BE28" s="15" t="s">
        <v>4</v>
      </c>
      <c r="BF28" s="15" t="s">
        <v>4</v>
      </c>
      <c r="BG28" s="15" t="s">
        <v>4</v>
      </c>
      <c r="BH28" s="15" t="s">
        <v>4</v>
      </c>
      <c r="BI28" s="15" t="s">
        <v>4</v>
      </c>
      <c r="BJ28" s="15" t="s">
        <v>4</v>
      </c>
    </row>
    <row r="29" spans="1:64" ht="129" thickBot="1" x14ac:dyDescent="0.25">
      <c r="A29" s="125"/>
      <c r="B29" s="31" t="s">
        <v>48</v>
      </c>
      <c r="C29" s="28" t="s">
        <v>4</v>
      </c>
      <c r="D29" s="28" t="s">
        <v>4</v>
      </c>
      <c r="E29" s="36" t="s">
        <v>4</v>
      </c>
      <c r="F29" s="24" t="s">
        <v>4</v>
      </c>
      <c r="G29" s="19" t="s">
        <v>4</v>
      </c>
      <c r="H29" s="19" t="s">
        <v>4</v>
      </c>
      <c r="I29" s="19" t="s">
        <v>4</v>
      </c>
      <c r="J29" s="19" t="s">
        <v>4</v>
      </c>
      <c r="K29" s="19" t="s">
        <v>4</v>
      </c>
      <c r="L29" s="19" t="s">
        <v>4</v>
      </c>
      <c r="M29" s="19" t="s">
        <v>4</v>
      </c>
      <c r="N29" s="19" t="s">
        <v>4</v>
      </c>
      <c r="O29" s="19" t="s">
        <v>4</v>
      </c>
      <c r="P29" s="19" t="s">
        <v>4</v>
      </c>
      <c r="Q29" s="19" t="s">
        <v>4</v>
      </c>
      <c r="R29" s="19" t="s">
        <v>4</v>
      </c>
      <c r="S29" s="19" t="s">
        <v>4</v>
      </c>
      <c r="T29" s="19" t="s">
        <v>4</v>
      </c>
      <c r="U29" s="19" t="s">
        <v>4</v>
      </c>
      <c r="V29" s="19" t="s">
        <v>4</v>
      </c>
      <c r="W29" s="19" t="s">
        <v>4</v>
      </c>
      <c r="X29" s="19" t="s">
        <v>4</v>
      </c>
      <c r="Y29" s="19" t="s">
        <v>4</v>
      </c>
      <c r="Z29" s="19" t="s">
        <v>4</v>
      </c>
      <c r="AA29" s="19" t="s">
        <v>4</v>
      </c>
      <c r="AB29" s="19" t="s">
        <v>4</v>
      </c>
      <c r="AC29" s="19" t="s">
        <v>4</v>
      </c>
      <c r="AD29" s="19" t="s">
        <v>4</v>
      </c>
      <c r="AE29" s="19" t="s">
        <v>4</v>
      </c>
      <c r="AF29" s="19" t="s">
        <v>4</v>
      </c>
      <c r="AG29" s="19" t="s">
        <v>4</v>
      </c>
      <c r="AH29" s="19" t="s">
        <v>4</v>
      </c>
      <c r="AI29" s="19" t="s">
        <v>4</v>
      </c>
      <c r="AJ29" s="19" t="s">
        <v>4</v>
      </c>
      <c r="AK29" s="19" t="s">
        <v>4</v>
      </c>
      <c r="AL29" s="19" t="s">
        <v>4</v>
      </c>
      <c r="AM29" s="19" t="s">
        <v>4</v>
      </c>
      <c r="AN29" s="19" t="s">
        <v>4</v>
      </c>
      <c r="AO29" s="19" t="s">
        <v>4</v>
      </c>
      <c r="AP29" s="19" t="s">
        <v>4</v>
      </c>
      <c r="AQ29" s="19" t="s">
        <v>4</v>
      </c>
      <c r="AR29" s="19" t="s">
        <v>4</v>
      </c>
      <c r="AS29" s="19" t="s">
        <v>4</v>
      </c>
      <c r="AT29" s="19" t="s">
        <v>4</v>
      </c>
      <c r="AU29" s="19" t="s">
        <v>4</v>
      </c>
      <c r="AV29" s="19" t="s">
        <v>4</v>
      </c>
      <c r="AW29" s="19" t="s">
        <v>4</v>
      </c>
      <c r="AX29" s="19" t="s">
        <v>4</v>
      </c>
      <c r="AY29" s="19" t="s">
        <v>4</v>
      </c>
      <c r="AZ29" s="19" t="s">
        <v>4</v>
      </c>
      <c r="BA29" s="19" t="s">
        <v>4</v>
      </c>
      <c r="BB29" s="19" t="s">
        <v>4</v>
      </c>
      <c r="BC29" s="19" t="s">
        <v>4</v>
      </c>
      <c r="BD29" s="19" t="s">
        <v>4</v>
      </c>
      <c r="BE29" s="19" t="s">
        <v>4</v>
      </c>
      <c r="BF29" s="19" t="s">
        <v>4</v>
      </c>
      <c r="BG29" s="19" t="s">
        <v>4</v>
      </c>
      <c r="BH29" s="19" t="s">
        <v>4</v>
      </c>
      <c r="BI29" s="19" t="s">
        <v>4</v>
      </c>
      <c r="BJ29" s="19" t="s">
        <v>4</v>
      </c>
    </row>
    <row r="30" spans="1:64" ht="15.75" thickBot="1" x14ac:dyDescent="0.25">
      <c r="A30" s="126"/>
      <c r="B30" s="79" t="s">
        <v>23</v>
      </c>
      <c r="C30" s="80"/>
      <c r="D30" s="80"/>
      <c r="E30" s="81"/>
      <c r="F30" s="35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</row>
    <row r="31" spans="1:64" ht="15" x14ac:dyDescent="0.25">
      <c r="A31" s="124" t="s">
        <v>29</v>
      </c>
      <c r="B31" s="82" t="s">
        <v>30</v>
      </c>
      <c r="C31" s="23" t="s">
        <v>4</v>
      </c>
      <c r="D31" s="23" t="s">
        <v>4</v>
      </c>
      <c r="E31" s="34" t="s">
        <v>4</v>
      </c>
      <c r="F31" s="78" t="s">
        <v>4</v>
      </c>
      <c r="G31" s="15" t="s">
        <v>4</v>
      </c>
      <c r="H31" s="15" t="s">
        <v>4</v>
      </c>
      <c r="I31" s="15" t="s">
        <v>4</v>
      </c>
      <c r="J31" s="15" t="s">
        <v>4</v>
      </c>
      <c r="K31" s="15" t="s">
        <v>4</v>
      </c>
      <c r="L31" s="15" t="s">
        <v>4</v>
      </c>
      <c r="M31" s="15" t="s">
        <v>4</v>
      </c>
      <c r="N31" s="15" t="s">
        <v>4</v>
      </c>
      <c r="O31" s="15" t="s">
        <v>4</v>
      </c>
      <c r="P31" s="15" t="s">
        <v>4</v>
      </c>
      <c r="Q31" s="15" t="s">
        <v>4</v>
      </c>
      <c r="R31" s="15" t="s">
        <v>4</v>
      </c>
      <c r="S31" s="15" t="s">
        <v>4</v>
      </c>
      <c r="T31" s="15" t="s">
        <v>4</v>
      </c>
      <c r="U31" s="15" t="s">
        <v>4</v>
      </c>
      <c r="V31" s="15" t="s">
        <v>4</v>
      </c>
      <c r="W31" s="15" t="s">
        <v>4</v>
      </c>
      <c r="X31" s="15" t="s">
        <v>4</v>
      </c>
      <c r="Y31" s="15" t="s">
        <v>4</v>
      </c>
      <c r="Z31" s="15" t="s">
        <v>4</v>
      </c>
      <c r="AA31" s="15" t="s">
        <v>4</v>
      </c>
      <c r="AB31" s="15" t="s">
        <v>4</v>
      </c>
      <c r="AC31" s="15" t="s">
        <v>4</v>
      </c>
      <c r="AD31" s="15" t="s">
        <v>4</v>
      </c>
      <c r="AE31" s="15" t="s">
        <v>4</v>
      </c>
      <c r="AF31" s="15" t="s">
        <v>4</v>
      </c>
      <c r="AG31" s="15" t="s">
        <v>4</v>
      </c>
      <c r="AH31" s="15" t="s">
        <v>4</v>
      </c>
      <c r="AI31" s="15" t="s">
        <v>4</v>
      </c>
      <c r="AJ31" s="15" t="s">
        <v>4</v>
      </c>
      <c r="AK31" s="15" t="s">
        <v>4</v>
      </c>
      <c r="AL31" s="15" t="s">
        <v>4</v>
      </c>
      <c r="AM31" s="15" t="s">
        <v>4</v>
      </c>
      <c r="AN31" s="15" t="s">
        <v>4</v>
      </c>
      <c r="AO31" s="15" t="s">
        <v>4</v>
      </c>
      <c r="AP31" s="15" t="s">
        <v>4</v>
      </c>
      <c r="AQ31" s="15" t="s">
        <v>4</v>
      </c>
      <c r="AR31" s="15" t="s">
        <v>4</v>
      </c>
      <c r="AS31" s="15" t="s">
        <v>4</v>
      </c>
      <c r="AT31" s="15" t="s">
        <v>4</v>
      </c>
      <c r="AU31" s="15" t="s">
        <v>4</v>
      </c>
      <c r="AV31" s="15" t="s">
        <v>4</v>
      </c>
      <c r="AW31" s="15" t="s">
        <v>4</v>
      </c>
      <c r="AX31" s="15" t="s">
        <v>4</v>
      </c>
      <c r="AY31" s="15" t="s">
        <v>4</v>
      </c>
      <c r="AZ31" s="15" t="s">
        <v>4</v>
      </c>
      <c r="BA31" s="15" t="s">
        <v>4</v>
      </c>
      <c r="BB31" s="15" t="s">
        <v>4</v>
      </c>
      <c r="BC31" s="15" t="s">
        <v>4</v>
      </c>
      <c r="BD31" s="15" t="s">
        <v>4</v>
      </c>
      <c r="BE31" s="15" t="s">
        <v>4</v>
      </c>
      <c r="BF31" s="15" t="s">
        <v>4</v>
      </c>
      <c r="BG31" s="15" t="s">
        <v>4</v>
      </c>
      <c r="BH31" s="15" t="s">
        <v>4</v>
      </c>
      <c r="BI31" s="15" t="s">
        <v>4</v>
      </c>
      <c r="BJ31" s="15" t="s">
        <v>4</v>
      </c>
    </row>
    <row r="32" spans="1:64" ht="43.5" x14ac:dyDescent="0.25">
      <c r="A32" s="125"/>
      <c r="B32" s="83" t="s">
        <v>31</v>
      </c>
      <c r="C32" s="33" t="s">
        <v>4</v>
      </c>
      <c r="D32" s="33" t="s">
        <v>4</v>
      </c>
      <c r="E32" s="25" t="s">
        <v>4</v>
      </c>
      <c r="F32" s="78" t="s">
        <v>4</v>
      </c>
      <c r="G32" s="15" t="s">
        <v>4</v>
      </c>
      <c r="H32" s="15" t="s">
        <v>4</v>
      </c>
      <c r="I32" s="15" t="s">
        <v>4</v>
      </c>
      <c r="J32" s="15" t="s">
        <v>4</v>
      </c>
      <c r="K32" s="15" t="s">
        <v>4</v>
      </c>
      <c r="L32" s="15" t="s">
        <v>4</v>
      </c>
      <c r="M32" s="15" t="s">
        <v>4</v>
      </c>
      <c r="N32" s="15" t="s">
        <v>4</v>
      </c>
      <c r="O32" s="15" t="s">
        <v>4</v>
      </c>
      <c r="P32" s="15" t="s">
        <v>4</v>
      </c>
      <c r="Q32" s="15" t="s">
        <v>4</v>
      </c>
      <c r="R32" s="15" t="s">
        <v>4</v>
      </c>
      <c r="S32" s="15" t="s">
        <v>4</v>
      </c>
      <c r="T32" s="15" t="s">
        <v>4</v>
      </c>
      <c r="U32" s="15" t="s">
        <v>4</v>
      </c>
      <c r="V32" s="15" t="s">
        <v>4</v>
      </c>
      <c r="W32" s="15" t="s">
        <v>4</v>
      </c>
      <c r="X32" s="15" t="s">
        <v>4</v>
      </c>
      <c r="Y32" s="15" t="s">
        <v>4</v>
      </c>
      <c r="Z32" s="15" t="s">
        <v>4</v>
      </c>
      <c r="AA32" s="15" t="s">
        <v>4</v>
      </c>
      <c r="AB32" s="15" t="s">
        <v>4</v>
      </c>
      <c r="AC32" s="15" t="s">
        <v>4</v>
      </c>
      <c r="AD32" s="15" t="s">
        <v>4</v>
      </c>
      <c r="AE32" s="15" t="s">
        <v>4</v>
      </c>
      <c r="AF32" s="15" t="s">
        <v>4</v>
      </c>
      <c r="AG32" s="15" t="s">
        <v>4</v>
      </c>
      <c r="AH32" s="15" t="s">
        <v>4</v>
      </c>
      <c r="AI32" s="15" t="s">
        <v>4</v>
      </c>
      <c r="AJ32" s="15" t="s">
        <v>4</v>
      </c>
      <c r="AK32" s="15" t="s">
        <v>4</v>
      </c>
      <c r="AL32" s="15" t="s">
        <v>4</v>
      </c>
      <c r="AM32" s="15" t="s">
        <v>4</v>
      </c>
      <c r="AN32" s="15" t="s">
        <v>4</v>
      </c>
      <c r="AO32" s="15" t="s">
        <v>4</v>
      </c>
      <c r="AP32" s="15" t="s">
        <v>4</v>
      </c>
      <c r="AQ32" s="15" t="s">
        <v>4</v>
      </c>
      <c r="AR32" s="15" t="s">
        <v>4</v>
      </c>
      <c r="AS32" s="15" t="s">
        <v>4</v>
      </c>
      <c r="AT32" s="15" t="s">
        <v>4</v>
      </c>
      <c r="AU32" s="15" t="s">
        <v>4</v>
      </c>
      <c r="AV32" s="15" t="s">
        <v>4</v>
      </c>
      <c r="AW32" s="15" t="s">
        <v>4</v>
      </c>
      <c r="AX32" s="15" t="s">
        <v>4</v>
      </c>
      <c r="AY32" s="15" t="s">
        <v>4</v>
      </c>
      <c r="AZ32" s="15" t="s">
        <v>4</v>
      </c>
      <c r="BA32" s="15" t="s">
        <v>4</v>
      </c>
      <c r="BB32" s="15" t="s">
        <v>4</v>
      </c>
      <c r="BC32" s="15" t="s">
        <v>4</v>
      </c>
      <c r="BD32" s="15" t="s">
        <v>4</v>
      </c>
      <c r="BE32" s="15" t="s">
        <v>4</v>
      </c>
      <c r="BF32" s="15" t="s">
        <v>4</v>
      </c>
      <c r="BG32" s="15" t="s">
        <v>4</v>
      </c>
      <c r="BH32" s="15" t="s">
        <v>4</v>
      </c>
      <c r="BI32" s="15" t="s">
        <v>4</v>
      </c>
      <c r="BJ32" s="15" t="s">
        <v>4</v>
      </c>
    </row>
    <row r="33" spans="1:62" ht="43.5" x14ac:dyDescent="0.25">
      <c r="A33" s="125"/>
      <c r="B33" s="83" t="s">
        <v>32</v>
      </c>
      <c r="C33" s="33" t="s">
        <v>4</v>
      </c>
      <c r="D33" s="33" t="s">
        <v>4</v>
      </c>
      <c r="E33" s="25" t="s">
        <v>4</v>
      </c>
      <c r="F33" s="78" t="s">
        <v>4</v>
      </c>
      <c r="G33" s="15" t="s">
        <v>4</v>
      </c>
      <c r="H33" s="15" t="s">
        <v>4</v>
      </c>
      <c r="I33" s="15" t="s">
        <v>4</v>
      </c>
      <c r="J33" s="15" t="s">
        <v>4</v>
      </c>
      <c r="K33" s="15" t="s">
        <v>4</v>
      </c>
      <c r="L33" s="15" t="s">
        <v>4</v>
      </c>
      <c r="M33" s="15" t="s">
        <v>4</v>
      </c>
      <c r="N33" s="15" t="s">
        <v>4</v>
      </c>
      <c r="O33" s="15" t="s">
        <v>4</v>
      </c>
      <c r="P33" s="15" t="s">
        <v>4</v>
      </c>
      <c r="Q33" s="15" t="s">
        <v>4</v>
      </c>
      <c r="R33" s="15" t="s">
        <v>4</v>
      </c>
      <c r="S33" s="15" t="s">
        <v>4</v>
      </c>
      <c r="T33" s="15" t="s">
        <v>4</v>
      </c>
      <c r="U33" s="15" t="s">
        <v>4</v>
      </c>
      <c r="V33" s="15" t="s">
        <v>4</v>
      </c>
      <c r="W33" s="15" t="s">
        <v>4</v>
      </c>
      <c r="X33" s="15" t="s">
        <v>4</v>
      </c>
      <c r="Y33" s="15" t="s">
        <v>4</v>
      </c>
      <c r="Z33" s="15" t="s">
        <v>4</v>
      </c>
      <c r="AA33" s="15" t="s">
        <v>4</v>
      </c>
      <c r="AB33" s="15" t="s">
        <v>4</v>
      </c>
      <c r="AC33" s="15" t="s">
        <v>4</v>
      </c>
      <c r="AD33" s="15" t="s">
        <v>4</v>
      </c>
      <c r="AE33" s="15" t="s">
        <v>4</v>
      </c>
      <c r="AF33" s="15" t="s">
        <v>4</v>
      </c>
      <c r="AG33" s="15" t="s">
        <v>4</v>
      </c>
      <c r="AH33" s="15" t="s">
        <v>4</v>
      </c>
      <c r="AI33" s="15" t="s">
        <v>4</v>
      </c>
      <c r="AJ33" s="15" t="s">
        <v>4</v>
      </c>
      <c r="AK33" s="15" t="s">
        <v>4</v>
      </c>
      <c r="AL33" s="15" t="s">
        <v>4</v>
      </c>
      <c r="AM33" s="15" t="s">
        <v>4</v>
      </c>
      <c r="AN33" s="15" t="s">
        <v>4</v>
      </c>
      <c r="AO33" s="15" t="s">
        <v>4</v>
      </c>
      <c r="AP33" s="15" t="s">
        <v>4</v>
      </c>
      <c r="AQ33" s="15" t="s">
        <v>4</v>
      </c>
      <c r="AR33" s="15" t="s">
        <v>4</v>
      </c>
      <c r="AS33" s="15" t="s">
        <v>4</v>
      </c>
      <c r="AT33" s="15" t="s">
        <v>4</v>
      </c>
      <c r="AU33" s="15" t="s">
        <v>4</v>
      </c>
      <c r="AV33" s="15" t="s">
        <v>4</v>
      </c>
      <c r="AW33" s="15" t="s">
        <v>4</v>
      </c>
      <c r="AX33" s="15" t="s">
        <v>4</v>
      </c>
      <c r="AY33" s="15" t="s">
        <v>4</v>
      </c>
      <c r="AZ33" s="15" t="s">
        <v>4</v>
      </c>
      <c r="BA33" s="15" t="s">
        <v>4</v>
      </c>
      <c r="BB33" s="15" t="s">
        <v>4</v>
      </c>
      <c r="BC33" s="15" t="s">
        <v>4</v>
      </c>
      <c r="BD33" s="15" t="s">
        <v>4</v>
      </c>
      <c r="BE33" s="15" t="s">
        <v>4</v>
      </c>
      <c r="BF33" s="15" t="s">
        <v>4</v>
      </c>
      <c r="BG33" s="15" t="s">
        <v>4</v>
      </c>
      <c r="BH33" s="15" t="s">
        <v>4</v>
      </c>
      <c r="BI33" s="15" t="s">
        <v>4</v>
      </c>
      <c r="BJ33" s="15" t="s">
        <v>4</v>
      </c>
    </row>
    <row r="34" spans="1:62" ht="15" x14ac:dyDescent="0.25">
      <c r="A34" s="125"/>
      <c r="B34" s="83" t="s">
        <v>33</v>
      </c>
      <c r="C34" s="33" t="s">
        <v>4</v>
      </c>
      <c r="D34" s="33" t="s">
        <v>4</v>
      </c>
      <c r="E34" s="25" t="s">
        <v>4</v>
      </c>
      <c r="F34" s="78" t="s">
        <v>4</v>
      </c>
      <c r="G34" s="15" t="s">
        <v>4</v>
      </c>
      <c r="H34" s="15" t="s">
        <v>4</v>
      </c>
      <c r="I34" s="15" t="s">
        <v>4</v>
      </c>
      <c r="J34" s="15" t="s">
        <v>4</v>
      </c>
      <c r="K34" s="15" t="s">
        <v>4</v>
      </c>
      <c r="L34" s="15" t="s">
        <v>4</v>
      </c>
      <c r="M34" s="15" t="s">
        <v>4</v>
      </c>
      <c r="N34" s="15" t="s">
        <v>4</v>
      </c>
      <c r="O34" s="15" t="s">
        <v>4</v>
      </c>
      <c r="P34" s="15" t="s">
        <v>4</v>
      </c>
      <c r="Q34" s="15" t="s">
        <v>4</v>
      </c>
      <c r="R34" s="15" t="s">
        <v>4</v>
      </c>
      <c r="S34" s="15" t="s">
        <v>4</v>
      </c>
      <c r="T34" s="15" t="s">
        <v>4</v>
      </c>
      <c r="U34" s="15" t="s">
        <v>4</v>
      </c>
      <c r="V34" s="15" t="s">
        <v>4</v>
      </c>
      <c r="W34" s="15" t="s">
        <v>4</v>
      </c>
      <c r="X34" s="15" t="s">
        <v>4</v>
      </c>
      <c r="Y34" s="15" t="s">
        <v>4</v>
      </c>
      <c r="Z34" s="15" t="s">
        <v>4</v>
      </c>
      <c r="AA34" s="15" t="s">
        <v>4</v>
      </c>
      <c r="AB34" s="15" t="s">
        <v>4</v>
      </c>
      <c r="AC34" s="15" t="s">
        <v>4</v>
      </c>
      <c r="AD34" s="15" t="s">
        <v>4</v>
      </c>
      <c r="AE34" s="15" t="s">
        <v>4</v>
      </c>
      <c r="AF34" s="15" t="s">
        <v>4</v>
      </c>
      <c r="AG34" s="15" t="s">
        <v>4</v>
      </c>
      <c r="AH34" s="15" t="s">
        <v>4</v>
      </c>
      <c r="AI34" s="15" t="s">
        <v>4</v>
      </c>
      <c r="AJ34" s="15" t="s">
        <v>4</v>
      </c>
      <c r="AK34" s="15" t="s">
        <v>4</v>
      </c>
      <c r="AL34" s="15" t="s">
        <v>4</v>
      </c>
      <c r="AM34" s="15" t="s">
        <v>4</v>
      </c>
      <c r="AN34" s="15" t="s">
        <v>4</v>
      </c>
      <c r="AO34" s="15" t="s">
        <v>4</v>
      </c>
      <c r="AP34" s="15" t="s">
        <v>4</v>
      </c>
      <c r="AQ34" s="15" t="s">
        <v>4</v>
      </c>
      <c r="AR34" s="15" t="s">
        <v>4</v>
      </c>
      <c r="AS34" s="15" t="s">
        <v>4</v>
      </c>
      <c r="AT34" s="15" t="s">
        <v>4</v>
      </c>
      <c r="AU34" s="15" t="s">
        <v>4</v>
      </c>
      <c r="AV34" s="15" t="s">
        <v>4</v>
      </c>
      <c r="AW34" s="15" t="s">
        <v>4</v>
      </c>
      <c r="AX34" s="15" t="s">
        <v>4</v>
      </c>
      <c r="AY34" s="15" t="s">
        <v>4</v>
      </c>
      <c r="AZ34" s="15" t="s">
        <v>4</v>
      </c>
      <c r="BA34" s="15" t="s">
        <v>4</v>
      </c>
      <c r="BB34" s="15" t="s">
        <v>4</v>
      </c>
      <c r="BC34" s="15" t="s">
        <v>4</v>
      </c>
      <c r="BD34" s="15" t="s">
        <v>4</v>
      </c>
      <c r="BE34" s="15" t="s">
        <v>4</v>
      </c>
      <c r="BF34" s="15" t="s">
        <v>4</v>
      </c>
      <c r="BG34" s="15" t="s">
        <v>4</v>
      </c>
      <c r="BH34" s="15" t="s">
        <v>4</v>
      </c>
      <c r="BI34" s="15" t="s">
        <v>4</v>
      </c>
      <c r="BJ34" s="15" t="s">
        <v>4</v>
      </c>
    </row>
    <row r="35" spans="1:62" ht="15" x14ac:dyDescent="0.25">
      <c r="A35" s="125"/>
      <c r="B35" s="83" t="s">
        <v>34</v>
      </c>
      <c r="C35" s="33" t="s">
        <v>4</v>
      </c>
      <c r="D35" s="33" t="s">
        <v>4</v>
      </c>
      <c r="E35" s="25" t="s">
        <v>4</v>
      </c>
      <c r="F35" s="78" t="s">
        <v>4</v>
      </c>
      <c r="G35" s="15" t="s">
        <v>4</v>
      </c>
      <c r="H35" s="15" t="s">
        <v>4</v>
      </c>
      <c r="I35" s="15" t="s">
        <v>4</v>
      </c>
      <c r="J35" s="15" t="s">
        <v>4</v>
      </c>
      <c r="K35" s="15" t="s">
        <v>4</v>
      </c>
      <c r="L35" s="15" t="s">
        <v>4</v>
      </c>
      <c r="M35" s="15" t="s">
        <v>4</v>
      </c>
      <c r="N35" s="15" t="s">
        <v>4</v>
      </c>
      <c r="O35" s="15" t="s">
        <v>4</v>
      </c>
      <c r="P35" s="15" t="s">
        <v>4</v>
      </c>
      <c r="Q35" s="15" t="s">
        <v>4</v>
      </c>
      <c r="R35" s="15" t="s">
        <v>4</v>
      </c>
      <c r="S35" s="15" t="s">
        <v>4</v>
      </c>
      <c r="T35" s="15" t="s">
        <v>4</v>
      </c>
      <c r="U35" s="15" t="s">
        <v>4</v>
      </c>
      <c r="V35" s="15" t="s">
        <v>4</v>
      </c>
      <c r="W35" s="15" t="s">
        <v>4</v>
      </c>
      <c r="X35" s="15" t="s">
        <v>4</v>
      </c>
      <c r="Y35" s="15" t="s">
        <v>4</v>
      </c>
      <c r="Z35" s="15" t="s">
        <v>4</v>
      </c>
      <c r="AA35" s="15" t="s">
        <v>4</v>
      </c>
      <c r="AB35" s="15" t="s">
        <v>4</v>
      </c>
      <c r="AC35" s="15" t="s">
        <v>4</v>
      </c>
      <c r="AD35" s="15" t="s">
        <v>4</v>
      </c>
      <c r="AE35" s="15" t="s">
        <v>4</v>
      </c>
      <c r="AF35" s="15" t="s">
        <v>4</v>
      </c>
      <c r="AG35" s="15" t="s">
        <v>4</v>
      </c>
      <c r="AH35" s="15" t="s">
        <v>4</v>
      </c>
      <c r="AI35" s="15" t="s">
        <v>4</v>
      </c>
      <c r="AJ35" s="15" t="s">
        <v>4</v>
      </c>
      <c r="AK35" s="15" t="s">
        <v>4</v>
      </c>
      <c r="AL35" s="15" t="s">
        <v>4</v>
      </c>
      <c r="AM35" s="15" t="s">
        <v>4</v>
      </c>
      <c r="AN35" s="15" t="s">
        <v>4</v>
      </c>
      <c r="AO35" s="15" t="s">
        <v>4</v>
      </c>
      <c r="AP35" s="15" t="s">
        <v>4</v>
      </c>
      <c r="AQ35" s="15" t="s">
        <v>4</v>
      </c>
      <c r="AR35" s="15" t="s">
        <v>4</v>
      </c>
      <c r="AS35" s="15" t="s">
        <v>4</v>
      </c>
      <c r="AT35" s="15" t="s">
        <v>4</v>
      </c>
      <c r="AU35" s="15" t="s">
        <v>4</v>
      </c>
      <c r="AV35" s="15" t="s">
        <v>4</v>
      </c>
      <c r="AW35" s="15" t="s">
        <v>4</v>
      </c>
      <c r="AX35" s="15" t="s">
        <v>4</v>
      </c>
      <c r="AY35" s="15" t="s">
        <v>4</v>
      </c>
      <c r="AZ35" s="15" t="s">
        <v>4</v>
      </c>
      <c r="BA35" s="15" t="s">
        <v>4</v>
      </c>
      <c r="BB35" s="15" t="s">
        <v>4</v>
      </c>
      <c r="BC35" s="15" t="s">
        <v>4</v>
      </c>
      <c r="BD35" s="15" t="s">
        <v>4</v>
      </c>
      <c r="BE35" s="15" t="s">
        <v>4</v>
      </c>
      <c r="BF35" s="15" t="s">
        <v>4</v>
      </c>
      <c r="BG35" s="15" t="s">
        <v>4</v>
      </c>
      <c r="BH35" s="15" t="s">
        <v>4</v>
      </c>
      <c r="BI35" s="15" t="s">
        <v>4</v>
      </c>
      <c r="BJ35" s="15" t="s">
        <v>4</v>
      </c>
    </row>
    <row r="36" spans="1:62" ht="15" x14ac:dyDescent="0.25">
      <c r="A36" s="125"/>
      <c r="B36" s="83" t="s">
        <v>35</v>
      </c>
      <c r="C36" s="33" t="s">
        <v>4</v>
      </c>
      <c r="D36" s="33" t="s">
        <v>4</v>
      </c>
      <c r="E36" s="25" t="s">
        <v>4</v>
      </c>
      <c r="F36" s="78" t="s">
        <v>4</v>
      </c>
      <c r="G36" s="15" t="s">
        <v>4</v>
      </c>
      <c r="H36" s="15" t="s">
        <v>4</v>
      </c>
      <c r="I36" s="15" t="s">
        <v>4</v>
      </c>
      <c r="J36" s="15" t="s">
        <v>4</v>
      </c>
      <c r="K36" s="15" t="s">
        <v>4</v>
      </c>
      <c r="L36" s="15" t="s">
        <v>4</v>
      </c>
      <c r="M36" s="15" t="s">
        <v>4</v>
      </c>
      <c r="N36" s="15" t="s">
        <v>4</v>
      </c>
      <c r="O36" s="15" t="s">
        <v>4</v>
      </c>
      <c r="P36" s="15" t="s">
        <v>4</v>
      </c>
      <c r="Q36" s="15" t="s">
        <v>4</v>
      </c>
      <c r="R36" s="15" t="s">
        <v>4</v>
      </c>
      <c r="S36" s="15" t="s">
        <v>4</v>
      </c>
      <c r="T36" s="15" t="s">
        <v>4</v>
      </c>
      <c r="U36" s="15" t="s">
        <v>4</v>
      </c>
      <c r="V36" s="15" t="s">
        <v>4</v>
      </c>
      <c r="W36" s="15" t="s">
        <v>4</v>
      </c>
      <c r="X36" s="15" t="s">
        <v>4</v>
      </c>
      <c r="Y36" s="15" t="s">
        <v>4</v>
      </c>
      <c r="Z36" s="15" t="s">
        <v>4</v>
      </c>
      <c r="AA36" s="15" t="s">
        <v>4</v>
      </c>
      <c r="AB36" s="15" t="s">
        <v>4</v>
      </c>
      <c r="AC36" s="15" t="s">
        <v>4</v>
      </c>
      <c r="AD36" s="15" t="s">
        <v>4</v>
      </c>
      <c r="AE36" s="15" t="s">
        <v>4</v>
      </c>
      <c r="AF36" s="15" t="s">
        <v>4</v>
      </c>
      <c r="AG36" s="15" t="s">
        <v>4</v>
      </c>
      <c r="AH36" s="15" t="s">
        <v>4</v>
      </c>
      <c r="AI36" s="15" t="s">
        <v>4</v>
      </c>
      <c r="AJ36" s="15" t="s">
        <v>4</v>
      </c>
      <c r="AK36" s="15" t="s">
        <v>4</v>
      </c>
      <c r="AL36" s="15" t="s">
        <v>4</v>
      </c>
      <c r="AM36" s="15" t="s">
        <v>4</v>
      </c>
      <c r="AN36" s="15" t="s">
        <v>4</v>
      </c>
      <c r="AO36" s="15" t="s">
        <v>4</v>
      </c>
      <c r="AP36" s="15" t="s">
        <v>4</v>
      </c>
      <c r="AQ36" s="15" t="s">
        <v>4</v>
      </c>
      <c r="AR36" s="15" t="s">
        <v>4</v>
      </c>
      <c r="AS36" s="15" t="s">
        <v>4</v>
      </c>
      <c r="AT36" s="15" t="s">
        <v>4</v>
      </c>
      <c r="AU36" s="15" t="s">
        <v>4</v>
      </c>
      <c r="AV36" s="15" t="s">
        <v>4</v>
      </c>
      <c r="AW36" s="15" t="s">
        <v>4</v>
      </c>
      <c r="AX36" s="15" t="s">
        <v>4</v>
      </c>
      <c r="AY36" s="15" t="s">
        <v>4</v>
      </c>
      <c r="AZ36" s="15" t="s">
        <v>4</v>
      </c>
      <c r="BA36" s="15" t="s">
        <v>4</v>
      </c>
      <c r="BB36" s="15" t="s">
        <v>4</v>
      </c>
      <c r="BC36" s="15" t="s">
        <v>4</v>
      </c>
      <c r="BD36" s="15" t="s">
        <v>4</v>
      </c>
      <c r="BE36" s="15" t="s">
        <v>4</v>
      </c>
      <c r="BF36" s="15" t="s">
        <v>4</v>
      </c>
      <c r="BG36" s="15" t="s">
        <v>4</v>
      </c>
      <c r="BH36" s="15" t="s">
        <v>4</v>
      </c>
      <c r="BI36" s="15" t="s">
        <v>4</v>
      </c>
      <c r="BJ36" s="15" t="s">
        <v>4</v>
      </c>
    </row>
    <row r="37" spans="1:62" ht="15.75" thickBot="1" x14ac:dyDescent="0.25">
      <c r="A37" s="126"/>
      <c r="B37" s="30" t="s">
        <v>23</v>
      </c>
      <c r="C37" s="27" t="s">
        <v>4</v>
      </c>
      <c r="D37" s="27" t="s">
        <v>4</v>
      </c>
      <c r="E37" s="37" t="s">
        <v>4</v>
      </c>
      <c r="F37" s="24" t="s">
        <v>4</v>
      </c>
      <c r="G37" s="19" t="s">
        <v>4</v>
      </c>
      <c r="H37" s="19" t="s">
        <v>4</v>
      </c>
      <c r="I37" s="19" t="s">
        <v>4</v>
      </c>
      <c r="J37" s="19" t="s">
        <v>4</v>
      </c>
      <c r="K37" s="19" t="s">
        <v>4</v>
      </c>
      <c r="L37" s="19" t="s">
        <v>4</v>
      </c>
      <c r="M37" s="19" t="s">
        <v>4</v>
      </c>
      <c r="N37" s="19" t="s">
        <v>4</v>
      </c>
      <c r="O37" s="19" t="s">
        <v>4</v>
      </c>
      <c r="P37" s="19" t="s">
        <v>4</v>
      </c>
      <c r="Q37" s="19" t="s">
        <v>4</v>
      </c>
      <c r="R37" s="19" t="s">
        <v>4</v>
      </c>
      <c r="S37" s="19" t="s">
        <v>4</v>
      </c>
      <c r="T37" s="19" t="s">
        <v>4</v>
      </c>
      <c r="U37" s="19" t="s">
        <v>4</v>
      </c>
      <c r="V37" s="19" t="s">
        <v>4</v>
      </c>
      <c r="W37" s="19" t="s">
        <v>4</v>
      </c>
      <c r="X37" s="19" t="s">
        <v>4</v>
      </c>
      <c r="Y37" s="19" t="s">
        <v>4</v>
      </c>
      <c r="Z37" s="19" t="s">
        <v>4</v>
      </c>
      <c r="AA37" s="19" t="s">
        <v>4</v>
      </c>
      <c r="AB37" s="19" t="s">
        <v>4</v>
      </c>
      <c r="AC37" s="19" t="s">
        <v>4</v>
      </c>
      <c r="AD37" s="19" t="s">
        <v>4</v>
      </c>
      <c r="AE37" s="19" t="s">
        <v>4</v>
      </c>
      <c r="AF37" s="19" t="s">
        <v>4</v>
      </c>
      <c r="AG37" s="19" t="s">
        <v>4</v>
      </c>
      <c r="AH37" s="19" t="s">
        <v>4</v>
      </c>
      <c r="AI37" s="19" t="s">
        <v>4</v>
      </c>
      <c r="AJ37" s="19" t="s">
        <v>4</v>
      </c>
      <c r="AK37" s="19" t="s">
        <v>4</v>
      </c>
      <c r="AL37" s="19" t="s">
        <v>4</v>
      </c>
      <c r="AM37" s="19" t="s">
        <v>4</v>
      </c>
      <c r="AN37" s="19" t="s">
        <v>4</v>
      </c>
      <c r="AO37" s="19" t="s">
        <v>4</v>
      </c>
      <c r="AP37" s="19" t="s">
        <v>4</v>
      </c>
      <c r="AQ37" s="19" t="s">
        <v>4</v>
      </c>
      <c r="AR37" s="19" t="s">
        <v>4</v>
      </c>
      <c r="AS37" s="19" t="s">
        <v>4</v>
      </c>
      <c r="AT37" s="19" t="s">
        <v>4</v>
      </c>
      <c r="AU37" s="19" t="s">
        <v>4</v>
      </c>
      <c r="AV37" s="19" t="s">
        <v>4</v>
      </c>
      <c r="AW37" s="19" t="s">
        <v>4</v>
      </c>
      <c r="AX37" s="19" t="s">
        <v>4</v>
      </c>
      <c r="AY37" s="19" t="s">
        <v>4</v>
      </c>
      <c r="AZ37" s="19" t="s">
        <v>4</v>
      </c>
      <c r="BA37" s="19" t="s">
        <v>4</v>
      </c>
      <c r="BB37" s="19" t="s">
        <v>4</v>
      </c>
      <c r="BC37" s="19" t="s">
        <v>4</v>
      </c>
      <c r="BD37" s="19" t="s">
        <v>4</v>
      </c>
      <c r="BE37" s="19" t="s">
        <v>4</v>
      </c>
      <c r="BF37" s="19" t="s">
        <v>4</v>
      </c>
      <c r="BG37" s="19" t="s">
        <v>4</v>
      </c>
      <c r="BH37" s="19" t="s">
        <v>4</v>
      </c>
      <c r="BI37" s="19" t="s">
        <v>4</v>
      </c>
      <c r="BJ37" s="19" t="s">
        <v>4</v>
      </c>
    </row>
    <row r="38" spans="1:62" s="1" customFormat="1" ht="14.25" customHeight="1" x14ac:dyDescent="0.2">
      <c r="B38" s="4"/>
      <c r="C38" s="20"/>
      <c r="G38" s="4"/>
      <c r="H38" s="4"/>
    </row>
    <row r="39" spans="1:62" s="1" customFormat="1" ht="14.25" customHeight="1" x14ac:dyDescent="0.2">
      <c r="A39" s="85" t="s">
        <v>115</v>
      </c>
      <c r="B39" s="4"/>
      <c r="C39" s="20" t="s">
        <v>116</v>
      </c>
      <c r="G39" s="4"/>
      <c r="H39" s="4"/>
    </row>
    <row r="40" spans="1:62" x14ac:dyDescent="0.2">
      <c r="A40" s="86"/>
      <c r="B40" s="86"/>
      <c r="C40" s="86"/>
    </row>
    <row r="41" spans="1:62" x14ac:dyDescent="0.2">
      <c r="A41" s="86" t="s">
        <v>117</v>
      </c>
      <c r="B41" s="86"/>
      <c r="C41" s="86"/>
    </row>
  </sheetData>
  <mergeCells count="14">
    <mergeCell ref="A19:A24"/>
    <mergeCell ref="A25:A30"/>
    <mergeCell ref="A15:E15"/>
    <mergeCell ref="A31:A37"/>
    <mergeCell ref="A1:BF1"/>
    <mergeCell ref="A2:BF2"/>
    <mergeCell ref="A3:B3"/>
    <mergeCell ref="C3:D3"/>
    <mergeCell ref="A11:A12"/>
    <mergeCell ref="B11:B12"/>
    <mergeCell ref="C11:E11"/>
    <mergeCell ref="A17:A18"/>
    <mergeCell ref="B17:B18"/>
    <mergeCell ref="C17:H17"/>
  </mergeCells>
  <pageMargins left="0.5" right="0.39370078740157483" top="0.39370078740157483" bottom="0.39370078740157483" header="0.3" footer="0.3"/>
  <pageSetup paperSize="9" scale="6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BP45"/>
  <sheetViews>
    <sheetView topLeftCell="A26" workbookViewId="0">
      <selection activeCell="C19" sqref="C19"/>
    </sheetView>
  </sheetViews>
  <sheetFormatPr defaultRowHeight="12.75" x14ac:dyDescent="0.2"/>
  <cols>
    <col min="1" max="1" width="27" customWidth="1"/>
    <col min="2" max="2" width="59.5703125" customWidth="1"/>
    <col min="3" max="5" width="19" customWidth="1"/>
    <col min="6" max="62" width="19" hidden="1" customWidth="1"/>
    <col min="63" max="63" width="16" customWidth="1"/>
    <col min="64" max="64" width="18.140625" customWidth="1"/>
    <col min="65" max="65" width="16.42578125" customWidth="1"/>
    <col min="66" max="66" width="16.140625" customWidth="1"/>
    <col min="67" max="67" width="15.85546875" customWidth="1"/>
    <col min="68" max="68" width="16.42578125" customWidth="1"/>
  </cols>
  <sheetData>
    <row r="1" spans="1:68" ht="33.75" customHeight="1" x14ac:dyDescent="0.2">
      <c r="A1" s="128" t="s">
        <v>7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</row>
    <row r="2" spans="1:68" ht="14.25" x14ac:dyDescent="0.2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</row>
    <row r="3" spans="1:68" s="2" customFormat="1" ht="15.75" customHeight="1" thickBot="1" x14ac:dyDescent="0.25">
      <c r="A3" s="129" t="s">
        <v>114</v>
      </c>
      <c r="B3" s="129"/>
      <c r="C3" s="129"/>
      <c r="D3" s="129"/>
    </row>
    <row r="4" spans="1:68" ht="16.350000000000001" customHeight="1" thickBot="1" x14ac:dyDescent="0.25">
      <c r="A4" s="8" t="s">
        <v>8</v>
      </c>
      <c r="B4" s="9" t="s">
        <v>103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68" ht="16.350000000000001" customHeight="1" thickBot="1" x14ac:dyDescent="0.25">
      <c r="A5" s="8" t="s">
        <v>0</v>
      </c>
      <c r="B5" s="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68" ht="31.7" customHeight="1" thickBot="1" x14ac:dyDescent="0.25">
      <c r="A6" s="8" t="s">
        <v>9</v>
      </c>
      <c r="B6" s="9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68" ht="16.5" thickBot="1" x14ac:dyDescent="0.25">
      <c r="A7" s="8" t="s">
        <v>10</v>
      </c>
      <c r="B7" s="9" t="s">
        <v>113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68" ht="16.5" thickBot="1" x14ac:dyDescent="0.25">
      <c r="A8" s="8" t="s">
        <v>11</v>
      </c>
      <c r="B8" s="9" t="s">
        <v>102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68" ht="16.350000000000001" customHeight="1" thickBot="1" x14ac:dyDescent="0.25">
      <c r="A9" s="8" t="s">
        <v>12</v>
      </c>
      <c r="B9" s="10" t="s">
        <v>36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68" ht="33.75" customHeight="1" thickBot="1" x14ac:dyDescent="0.3">
      <c r="A10" s="11" t="s">
        <v>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68" ht="60.95" customHeight="1" thickBot="1" x14ac:dyDescent="0.3">
      <c r="A11" s="130" t="s">
        <v>14</v>
      </c>
      <c r="B11" s="132" t="s">
        <v>15</v>
      </c>
      <c r="C11" s="134" t="s">
        <v>16</v>
      </c>
      <c r="D11" s="135"/>
      <c r="E11" s="136"/>
      <c r="F11" s="6"/>
      <c r="G11" s="6"/>
      <c r="H11" s="6"/>
      <c r="I11" s="6"/>
      <c r="J11" s="6"/>
      <c r="K11" s="6"/>
    </row>
    <row r="12" spans="1:68" ht="72" customHeight="1" x14ac:dyDescent="0.2">
      <c r="A12" s="131"/>
      <c r="B12" s="133"/>
      <c r="C12" s="77" t="s">
        <v>104</v>
      </c>
      <c r="D12" s="77" t="s">
        <v>105</v>
      </c>
      <c r="E12" s="77" t="s">
        <v>106</v>
      </c>
      <c r="F12" s="12" t="s">
        <v>4</v>
      </c>
      <c r="G12" s="12" t="s">
        <v>4</v>
      </c>
      <c r="H12" s="12" t="s">
        <v>4</v>
      </c>
      <c r="I12" s="12" t="s">
        <v>4</v>
      </c>
      <c r="J12" s="12" t="s">
        <v>4</v>
      </c>
      <c r="K12" s="12" t="s">
        <v>4</v>
      </c>
      <c r="L12" s="12" t="s">
        <v>4</v>
      </c>
      <c r="M12" s="12" t="s">
        <v>4</v>
      </c>
      <c r="N12" s="12" t="s">
        <v>4</v>
      </c>
      <c r="O12" s="12" t="s">
        <v>4</v>
      </c>
      <c r="P12" s="12" t="s">
        <v>4</v>
      </c>
      <c r="Q12" s="12" t="s">
        <v>4</v>
      </c>
      <c r="R12" s="12" t="s">
        <v>4</v>
      </c>
      <c r="S12" s="12" t="s">
        <v>4</v>
      </c>
      <c r="T12" s="12" t="s">
        <v>4</v>
      </c>
      <c r="U12" s="12" t="s">
        <v>4</v>
      </c>
      <c r="V12" s="12" t="s">
        <v>4</v>
      </c>
      <c r="W12" s="12" t="s">
        <v>4</v>
      </c>
      <c r="X12" s="12" t="s">
        <v>4</v>
      </c>
      <c r="Y12" s="12" t="s">
        <v>4</v>
      </c>
      <c r="Z12" s="12" t="s">
        <v>4</v>
      </c>
      <c r="AA12" s="12" t="s">
        <v>4</v>
      </c>
      <c r="AB12" s="12" t="s">
        <v>4</v>
      </c>
      <c r="AC12" s="12" t="s">
        <v>4</v>
      </c>
      <c r="AD12" s="12" t="s">
        <v>4</v>
      </c>
      <c r="AE12" s="12" t="s">
        <v>4</v>
      </c>
      <c r="AF12" s="12" t="s">
        <v>4</v>
      </c>
      <c r="AG12" s="12" t="s">
        <v>4</v>
      </c>
      <c r="AH12" s="12" t="s">
        <v>4</v>
      </c>
      <c r="AI12" s="12" t="s">
        <v>4</v>
      </c>
      <c r="AJ12" s="12" t="s">
        <v>4</v>
      </c>
      <c r="AK12" s="12" t="s">
        <v>4</v>
      </c>
      <c r="AL12" s="12" t="s">
        <v>4</v>
      </c>
      <c r="AM12" s="12" t="s">
        <v>4</v>
      </c>
      <c r="AN12" s="12" t="s">
        <v>4</v>
      </c>
      <c r="AO12" s="12" t="s">
        <v>4</v>
      </c>
      <c r="AP12" s="12" t="s">
        <v>4</v>
      </c>
      <c r="AQ12" s="12" t="s">
        <v>4</v>
      </c>
      <c r="AR12" s="12" t="s">
        <v>4</v>
      </c>
      <c r="AS12" s="12" t="s">
        <v>4</v>
      </c>
      <c r="AT12" s="12" t="s">
        <v>4</v>
      </c>
      <c r="AU12" s="12" t="s">
        <v>4</v>
      </c>
      <c r="AV12" s="12" t="s">
        <v>4</v>
      </c>
      <c r="AW12" s="12" t="s">
        <v>4</v>
      </c>
      <c r="AX12" s="12" t="s">
        <v>4</v>
      </c>
      <c r="AY12" s="12" t="s">
        <v>4</v>
      </c>
      <c r="AZ12" s="12" t="s">
        <v>4</v>
      </c>
      <c r="BA12" s="12" t="s">
        <v>4</v>
      </c>
      <c r="BB12" s="12" t="s">
        <v>4</v>
      </c>
      <c r="BC12" s="12" t="s">
        <v>4</v>
      </c>
      <c r="BD12" s="12" t="s">
        <v>4</v>
      </c>
      <c r="BE12" s="12" t="s">
        <v>4</v>
      </c>
      <c r="BF12" s="12" t="s">
        <v>4</v>
      </c>
      <c r="BG12" s="12" t="s">
        <v>4</v>
      </c>
      <c r="BH12" s="12" t="s">
        <v>4</v>
      </c>
      <c r="BI12" s="12" t="s">
        <v>4</v>
      </c>
      <c r="BJ12" s="12" t="s">
        <v>4</v>
      </c>
      <c r="BK12" s="6"/>
      <c r="BL12" s="6"/>
      <c r="BM12" s="6"/>
      <c r="BN12" s="6"/>
      <c r="BO12" s="6"/>
      <c r="BP12" s="6"/>
    </row>
    <row r="13" spans="1:68" ht="29.25" x14ac:dyDescent="0.25">
      <c r="A13" s="13" t="s">
        <v>5</v>
      </c>
      <c r="B13" s="14" t="s">
        <v>17</v>
      </c>
      <c r="C13" s="15" t="s">
        <v>4</v>
      </c>
      <c r="D13" s="15" t="s">
        <v>4</v>
      </c>
      <c r="E13" s="15" t="s">
        <v>4</v>
      </c>
      <c r="F13" s="15" t="s">
        <v>4</v>
      </c>
      <c r="G13" s="15" t="s">
        <v>4</v>
      </c>
      <c r="H13" s="15" t="s">
        <v>4</v>
      </c>
      <c r="I13" s="15" t="s">
        <v>4</v>
      </c>
      <c r="J13" s="15" t="s">
        <v>4</v>
      </c>
      <c r="K13" s="15" t="s">
        <v>4</v>
      </c>
      <c r="L13" s="15" t="s">
        <v>4</v>
      </c>
      <c r="M13" s="15" t="s">
        <v>4</v>
      </c>
      <c r="N13" s="15" t="s">
        <v>4</v>
      </c>
      <c r="O13" s="15" t="s">
        <v>4</v>
      </c>
      <c r="P13" s="15" t="s">
        <v>4</v>
      </c>
      <c r="Q13" s="15" t="s">
        <v>4</v>
      </c>
      <c r="R13" s="15" t="s">
        <v>4</v>
      </c>
      <c r="S13" s="15" t="s">
        <v>4</v>
      </c>
      <c r="T13" s="15" t="s">
        <v>4</v>
      </c>
      <c r="U13" s="15" t="s">
        <v>4</v>
      </c>
      <c r="V13" s="15" t="s">
        <v>4</v>
      </c>
      <c r="W13" s="15" t="s">
        <v>4</v>
      </c>
      <c r="X13" s="15" t="s">
        <v>4</v>
      </c>
      <c r="Y13" s="15" t="s">
        <v>4</v>
      </c>
      <c r="Z13" s="15" t="s">
        <v>4</v>
      </c>
      <c r="AA13" s="15" t="s">
        <v>4</v>
      </c>
      <c r="AB13" s="15" t="s">
        <v>4</v>
      </c>
      <c r="AC13" s="15" t="s">
        <v>4</v>
      </c>
      <c r="AD13" s="15" t="s">
        <v>4</v>
      </c>
      <c r="AE13" s="15" t="s">
        <v>4</v>
      </c>
      <c r="AF13" s="15" t="s">
        <v>4</v>
      </c>
      <c r="AG13" s="15" t="s">
        <v>4</v>
      </c>
      <c r="AH13" s="15" t="s">
        <v>4</v>
      </c>
      <c r="AI13" s="15" t="s">
        <v>4</v>
      </c>
      <c r="AJ13" s="15" t="s">
        <v>4</v>
      </c>
      <c r="AK13" s="15" t="s">
        <v>4</v>
      </c>
      <c r="AL13" s="15" t="s">
        <v>4</v>
      </c>
      <c r="AM13" s="15" t="s">
        <v>4</v>
      </c>
      <c r="AN13" s="15" t="s">
        <v>4</v>
      </c>
      <c r="AO13" s="15" t="s">
        <v>4</v>
      </c>
      <c r="AP13" s="15" t="s">
        <v>4</v>
      </c>
      <c r="AQ13" s="15" t="s">
        <v>4</v>
      </c>
      <c r="AR13" s="15" t="s">
        <v>4</v>
      </c>
      <c r="AS13" s="15" t="s">
        <v>4</v>
      </c>
      <c r="AT13" s="15" t="s">
        <v>4</v>
      </c>
      <c r="AU13" s="15" t="s">
        <v>4</v>
      </c>
      <c r="AV13" s="15" t="s">
        <v>4</v>
      </c>
      <c r="AW13" s="15" t="s">
        <v>4</v>
      </c>
      <c r="AX13" s="15" t="s">
        <v>4</v>
      </c>
      <c r="AY13" s="15" t="s">
        <v>4</v>
      </c>
      <c r="AZ13" s="15" t="s">
        <v>4</v>
      </c>
      <c r="BA13" s="15" t="s">
        <v>4</v>
      </c>
      <c r="BB13" s="15" t="s">
        <v>4</v>
      </c>
      <c r="BC13" s="15" t="s">
        <v>4</v>
      </c>
      <c r="BD13" s="15" t="s">
        <v>4</v>
      </c>
      <c r="BE13" s="15" t="s">
        <v>4</v>
      </c>
      <c r="BF13" s="15" t="s">
        <v>4</v>
      </c>
      <c r="BG13" s="15" t="s">
        <v>4</v>
      </c>
      <c r="BH13" s="15" t="s">
        <v>4</v>
      </c>
      <c r="BI13" s="15" t="s">
        <v>4</v>
      </c>
      <c r="BJ13" s="15" t="s">
        <v>4</v>
      </c>
      <c r="BK13" s="6"/>
      <c r="BL13" s="6"/>
      <c r="BM13" s="6"/>
      <c r="BN13" s="6"/>
      <c r="BO13" s="6"/>
      <c r="BP13" s="6"/>
    </row>
    <row r="14" spans="1:68" ht="29.25" x14ac:dyDescent="0.25">
      <c r="A14" s="13" t="s">
        <v>4</v>
      </c>
      <c r="B14" s="14" t="s">
        <v>18</v>
      </c>
      <c r="C14" s="15" t="s">
        <v>4</v>
      </c>
      <c r="D14" s="15" t="s">
        <v>4</v>
      </c>
      <c r="E14" s="15" t="s">
        <v>4</v>
      </c>
      <c r="F14" s="15" t="s">
        <v>4</v>
      </c>
      <c r="G14" s="15" t="s">
        <v>4</v>
      </c>
      <c r="H14" s="15" t="s">
        <v>4</v>
      </c>
      <c r="I14" s="15" t="s">
        <v>4</v>
      </c>
      <c r="J14" s="15" t="s">
        <v>4</v>
      </c>
      <c r="K14" s="15" t="s">
        <v>4</v>
      </c>
      <c r="L14" s="15" t="s">
        <v>4</v>
      </c>
      <c r="M14" s="15" t="s">
        <v>4</v>
      </c>
      <c r="N14" s="15" t="s">
        <v>4</v>
      </c>
      <c r="O14" s="15" t="s">
        <v>4</v>
      </c>
      <c r="P14" s="15" t="s">
        <v>4</v>
      </c>
      <c r="Q14" s="15" t="s">
        <v>4</v>
      </c>
      <c r="R14" s="15" t="s">
        <v>4</v>
      </c>
      <c r="S14" s="15" t="s">
        <v>4</v>
      </c>
      <c r="T14" s="15" t="s">
        <v>4</v>
      </c>
      <c r="U14" s="15" t="s">
        <v>4</v>
      </c>
      <c r="V14" s="15" t="s">
        <v>4</v>
      </c>
      <c r="W14" s="15" t="s">
        <v>4</v>
      </c>
      <c r="X14" s="15" t="s">
        <v>4</v>
      </c>
      <c r="Y14" s="15" t="s">
        <v>4</v>
      </c>
      <c r="Z14" s="15" t="s">
        <v>4</v>
      </c>
      <c r="AA14" s="15" t="s">
        <v>4</v>
      </c>
      <c r="AB14" s="15" t="s">
        <v>4</v>
      </c>
      <c r="AC14" s="15" t="s">
        <v>4</v>
      </c>
      <c r="AD14" s="15" t="s">
        <v>4</v>
      </c>
      <c r="AE14" s="15" t="s">
        <v>4</v>
      </c>
      <c r="AF14" s="15" t="s">
        <v>4</v>
      </c>
      <c r="AG14" s="15" t="s">
        <v>4</v>
      </c>
      <c r="AH14" s="15" t="s">
        <v>4</v>
      </c>
      <c r="AI14" s="15" t="s">
        <v>4</v>
      </c>
      <c r="AJ14" s="15" t="s">
        <v>4</v>
      </c>
      <c r="AK14" s="15" t="s">
        <v>4</v>
      </c>
      <c r="AL14" s="15" t="s">
        <v>4</v>
      </c>
      <c r="AM14" s="15" t="s">
        <v>4</v>
      </c>
      <c r="AN14" s="15" t="s">
        <v>4</v>
      </c>
      <c r="AO14" s="15" t="s">
        <v>4</v>
      </c>
      <c r="AP14" s="15" t="s">
        <v>4</v>
      </c>
      <c r="AQ14" s="15" t="s">
        <v>4</v>
      </c>
      <c r="AR14" s="15" t="s">
        <v>4</v>
      </c>
      <c r="AS14" s="15" t="s">
        <v>4</v>
      </c>
      <c r="AT14" s="15" t="s">
        <v>4</v>
      </c>
      <c r="AU14" s="15" t="s">
        <v>4</v>
      </c>
      <c r="AV14" s="15" t="s">
        <v>4</v>
      </c>
      <c r="AW14" s="15" t="s">
        <v>4</v>
      </c>
      <c r="AX14" s="15" t="s">
        <v>4</v>
      </c>
      <c r="AY14" s="15" t="s">
        <v>4</v>
      </c>
      <c r="AZ14" s="15" t="s">
        <v>4</v>
      </c>
      <c r="BA14" s="15" t="s">
        <v>4</v>
      </c>
      <c r="BB14" s="15" t="s">
        <v>4</v>
      </c>
      <c r="BC14" s="15" t="s">
        <v>4</v>
      </c>
      <c r="BD14" s="15" t="s">
        <v>4</v>
      </c>
      <c r="BE14" s="15" t="s">
        <v>4</v>
      </c>
      <c r="BF14" s="15" t="s">
        <v>4</v>
      </c>
      <c r="BG14" s="15" t="s">
        <v>4</v>
      </c>
      <c r="BH14" s="15" t="s">
        <v>4</v>
      </c>
      <c r="BI14" s="15" t="s">
        <v>4</v>
      </c>
      <c r="BJ14" s="15" t="s">
        <v>4</v>
      </c>
      <c r="BK14" s="6"/>
      <c r="BL14" s="6"/>
      <c r="BM14" s="6"/>
      <c r="BN14" s="6"/>
      <c r="BO14" s="6"/>
      <c r="BP14" s="6"/>
    </row>
    <row r="15" spans="1:68" ht="111.75" customHeight="1" x14ac:dyDescent="0.2">
      <c r="A15" s="127" t="s">
        <v>108</v>
      </c>
      <c r="B15" s="127"/>
      <c r="C15" s="127"/>
      <c r="D15" s="127"/>
      <c r="E15" s="127"/>
      <c r="F15" s="16"/>
      <c r="G15" s="16"/>
      <c r="H15" s="1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68" ht="16.350000000000001" customHeight="1" thickBot="1" x14ac:dyDescent="0.3">
      <c r="A16" s="11" t="s">
        <v>19</v>
      </c>
    </row>
    <row r="17" spans="1:64" s="1" customFormat="1" ht="36.75" customHeight="1" thickBot="1" x14ac:dyDescent="0.25">
      <c r="A17" s="130" t="s">
        <v>20</v>
      </c>
      <c r="B17" s="130" t="s">
        <v>21</v>
      </c>
      <c r="C17" s="138" t="s">
        <v>22</v>
      </c>
      <c r="D17" s="139"/>
      <c r="E17" s="139"/>
      <c r="F17" s="139"/>
      <c r="G17" s="139"/>
      <c r="H17" s="140"/>
      <c r="I17" s="7"/>
      <c r="J17" s="7"/>
    </row>
    <row r="18" spans="1:64" s="1" customFormat="1" ht="77.25" customHeight="1" thickBot="1" x14ac:dyDescent="0.25">
      <c r="A18" s="131"/>
      <c r="B18" s="131"/>
      <c r="C18" s="77" t="s">
        <v>104</v>
      </c>
      <c r="D18" s="77" t="s">
        <v>105</v>
      </c>
      <c r="E18" s="77" t="s">
        <v>106</v>
      </c>
      <c r="F18" s="12" t="s">
        <v>4</v>
      </c>
      <c r="G18" s="12" t="s">
        <v>4</v>
      </c>
      <c r="H18" s="12" t="s">
        <v>4</v>
      </c>
      <c r="I18" s="12" t="s">
        <v>4</v>
      </c>
      <c r="J18" s="12" t="s">
        <v>4</v>
      </c>
      <c r="K18" s="12" t="s">
        <v>4</v>
      </c>
      <c r="L18" s="12" t="s">
        <v>4</v>
      </c>
      <c r="M18" s="12" t="s">
        <v>4</v>
      </c>
      <c r="N18" s="12" t="s">
        <v>4</v>
      </c>
      <c r="O18" s="12" t="s">
        <v>4</v>
      </c>
      <c r="P18" s="12" t="s">
        <v>4</v>
      </c>
      <c r="Q18" s="12" t="s">
        <v>4</v>
      </c>
      <c r="R18" s="12" t="s">
        <v>4</v>
      </c>
      <c r="S18" s="12" t="s">
        <v>4</v>
      </c>
      <c r="T18" s="12" t="s">
        <v>4</v>
      </c>
      <c r="U18" s="12" t="s">
        <v>4</v>
      </c>
      <c r="V18" s="12" t="s">
        <v>4</v>
      </c>
      <c r="W18" s="12" t="s">
        <v>4</v>
      </c>
      <c r="X18" s="12" t="s">
        <v>4</v>
      </c>
      <c r="Y18" s="12" t="s">
        <v>4</v>
      </c>
      <c r="Z18" s="12" t="s">
        <v>4</v>
      </c>
      <c r="AA18" s="12" t="s">
        <v>4</v>
      </c>
      <c r="AB18" s="12" t="s">
        <v>4</v>
      </c>
      <c r="AC18" s="12" t="s">
        <v>4</v>
      </c>
      <c r="AD18" s="12" t="s">
        <v>4</v>
      </c>
      <c r="AE18" s="12" t="s">
        <v>4</v>
      </c>
      <c r="AF18" s="12" t="s">
        <v>4</v>
      </c>
      <c r="AG18" s="12" t="s">
        <v>4</v>
      </c>
      <c r="AH18" s="12" t="s">
        <v>4</v>
      </c>
      <c r="AI18" s="12" t="s">
        <v>4</v>
      </c>
      <c r="AJ18" s="12" t="s">
        <v>4</v>
      </c>
      <c r="AK18" s="12" t="s">
        <v>4</v>
      </c>
      <c r="AL18" s="12" t="s">
        <v>4</v>
      </c>
      <c r="AM18" s="12" t="s">
        <v>4</v>
      </c>
      <c r="AN18" s="12" t="s">
        <v>4</v>
      </c>
      <c r="AO18" s="12" t="s">
        <v>4</v>
      </c>
      <c r="AP18" s="12" t="s">
        <v>4</v>
      </c>
      <c r="AQ18" s="12" t="s">
        <v>4</v>
      </c>
      <c r="AR18" s="12" t="s">
        <v>4</v>
      </c>
      <c r="AS18" s="12" t="s">
        <v>4</v>
      </c>
      <c r="AT18" s="12" t="s">
        <v>4</v>
      </c>
      <c r="AU18" s="12" t="s">
        <v>4</v>
      </c>
      <c r="AV18" s="12" t="s">
        <v>4</v>
      </c>
      <c r="AW18" s="12" t="s">
        <v>4</v>
      </c>
      <c r="AX18" s="12" t="s">
        <v>4</v>
      </c>
      <c r="AY18" s="12" t="s">
        <v>4</v>
      </c>
      <c r="AZ18" s="12" t="s">
        <v>4</v>
      </c>
      <c r="BA18" s="12" t="s">
        <v>4</v>
      </c>
      <c r="BB18" s="12" t="s">
        <v>4</v>
      </c>
      <c r="BC18" s="12" t="s">
        <v>4</v>
      </c>
      <c r="BD18" s="12" t="s">
        <v>4</v>
      </c>
      <c r="BE18" s="12" t="s">
        <v>4</v>
      </c>
      <c r="BF18" s="12" t="s">
        <v>4</v>
      </c>
      <c r="BG18" s="12" t="s">
        <v>4</v>
      </c>
      <c r="BH18" s="12" t="s">
        <v>4</v>
      </c>
      <c r="BI18" s="12" t="s">
        <v>4</v>
      </c>
      <c r="BJ18" s="12" t="s">
        <v>4</v>
      </c>
      <c r="BK18" s="17"/>
      <c r="BL18" s="17"/>
    </row>
    <row r="19" spans="1:64" ht="43.5" x14ac:dyDescent="0.25">
      <c r="A19" s="124" t="s">
        <v>37</v>
      </c>
      <c r="B19" s="14" t="s">
        <v>79</v>
      </c>
      <c r="C19" s="15" t="s">
        <v>4</v>
      </c>
      <c r="D19" s="15" t="s">
        <v>4</v>
      </c>
      <c r="E19" s="15" t="s">
        <v>4</v>
      </c>
      <c r="F19" s="15" t="s">
        <v>4</v>
      </c>
      <c r="G19" s="15" t="s">
        <v>4</v>
      </c>
      <c r="H19" s="15" t="s">
        <v>4</v>
      </c>
      <c r="I19" s="15" t="s">
        <v>4</v>
      </c>
      <c r="J19" s="15" t="s">
        <v>4</v>
      </c>
      <c r="K19" s="15" t="s">
        <v>4</v>
      </c>
      <c r="L19" s="15" t="s">
        <v>4</v>
      </c>
      <c r="M19" s="15" t="s">
        <v>4</v>
      </c>
      <c r="N19" s="15" t="s">
        <v>4</v>
      </c>
      <c r="O19" s="15" t="s">
        <v>4</v>
      </c>
      <c r="P19" s="15" t="s">
        <v>4</v>
      </c>
      <c r="Q19" s="15" t="s">
        <v>4</v>
      </c>
      <c r="R19" s="15" t="s">
        <v>4</v>
      </c>
      <c r="S19" s="15" t="s">
        <v>4</v>
      </c>
      <c r="T19" s="15" t="s">
        <v>4</v>
      </c>
      <c r="U19" s="15" t="s">
        <v>4</v>
      </c>
      <c r="V19" s="15" t="s">
        <v>4</v>
      </c>
      <c r="W19" s="15" t="s">
        <v>4</v>
      </c>
      <c r="X19" s="15" t="s">
        <v>4</v>
      </c>
      <c r="Y19" s="15" t="s">
        <v>4</v>
      </c>
      <c r="Z19" s="15" t="s">
        <v>4</v>
      </c>
      <c r="AA19" s="15" t="s">
        <v>4</v>
      </c>
      <c r="AB19" s="15" t="s">
        <v>4</v>
      </c>
      <c r="AC19" s="15" t="s">
        <v>4</v>
      </c>
      <c r="AD19" s="15" t="s">
        <v>4</v>
      </c>
      <c r="AE19" s="15" t="s">
        <v>4</v>
      </c>
      <c r="AF19" s="15" t="s">
        <v>4</v>
      </c>
      <c r="AG19" s="15" t="s">
        <v>4</v>
      </c>
      <c r="AH19" s="15" t="s">
        <v>4</v>
      </c>
      <c r="AI19" s="15" t="s">
        <v>4</v>
      </c>
      <c r="AJ19" s="15" t="s">
        <v>4</v>
      </c>
      <c r="AK19" s="15" t="s">
        <v>4</v>
      </c>
      <c r="AL19" s="15" t="s">
        <v>4</v>
      </c>
      <c r="AM19" s="15" t="s">
        <v>4</v>
      </c>
      <c r="AN19" s="15" t="s">
        <v>4</v>
      </c>
      <c r="AO19" s="15" t="s">
        <v>4</v>
      </c>
      <c r="AP19" s="15" t="s">
        <v>4</v>
      </c>
      <c r="AQ19" s="15" t="s">
        <v>4</v>
      </c>
      <c r="AR19" s="15" t="s">
        <v>4</v>
      </c>
      <c r="AS19" s="15" t="s">
        <v>4</v>
      </c>
      <c r="AT19" s="15" t="s">
        <v>4</v>
      </c>
      <c r="AU19" s="15" t="s">
        <v>4</v>
      </c>
      <c r="AV19" s="15" t="s">
        <v>4</v>
      </c>
      <c r="AW19" s="15" t="s">
        <v>4</v>
      </c>
      <c r="AX19" s="15" t="s">
        <v>4</v>
      </c>
      <c r="AY19" s="15" t="s">
        <v>4</v>
      </c>
      <c r="AZ19" s="15" t="s">
        <v>4</v>
      </c>
      <c r="BA19" s="15" t="s">
        <v>4</v>
      </c>
      <c r="BB19" s="15" t="s">
        <v>4</v>
      </c>
      <c r="BC19" s="15" t="s">
        <v>4</v>
      </c>
      <c r="BD19" s="15" t="s">
        <v>4</v>
      </c>
      <c r="BE19" s="15" t="s">
        <v>4</v>
      </c>
      <c r="BF19" s="15" t="s">
        <v>4</v>
      </c>
      <c r="BG19" s="15" t="s">
        <v>4</v>
      </c>
      <c r="BH19" s="15" t="s">
        <v>4</v>
      </c>
      <c r="BI19" s="15" t="s">
        <v>4</v>
      </c>
      <c r="BJ19" s="15" t="s">
        <v>4</v>
      </c>
    </row>
    <row r="20" spans="1:64" ht="43.5" x14ac:dyDescent="0.25">
      <c r="A20" s="125"/>
      <c r="B20" s="14" t="s">
        <v>78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</row>
    <row r="21" spans="1:64" ht="43.5" x14ac:dyDescent="0.25">
      <c r="A21" s="125"/>
      <c r="B21" s="14" t="s">
        <v>38</v>
      </c>
      <c r="C21" s="15" t="s">
        <v>4</v>
      </c>
      <c r="D21" s="15" t="s">
        <v>4</v>
      </c>
      <c r="E21" s="15" t="s">
        <v>4</v>
      </c>
      <c r="F21" s="15" t="s">
        <v>4</v>
      </c>
      <c r="G21" s="15" t="s">
        <v>4</v>
      </c>
      <c r="H21" s="15" t="s">
        <v>4</v>
      </c>
      <c r="I21" s="15" t="s">
        <v>4</v>
      </c>
      <c r="J21" s="15" t="s">
        <v>4</v>
      </c>
      <c r="K21" s="15" t="s">
        <v>4</v>
      </c>
      <c r="L21" s="15" t="s">
        <v>4</v>
      </c>
      <c r="M21" s="15" t="s">
        <v>4</v>
      </c>
      <c r="N21" s="15" t="s">
        <v>4</v>
      </c>
      <c r="O21" s="15" t="s">
        <v>4</v>
      </c>
      <c r="P21" s="15" t="s">
        <v>4</v>
      </c>
      <c r="Q21" s="15" t="s">
        <v>4</v>
      </c>
      <c r="R21" s="15" t="s">
        <v>4</v>
      </c>
      <c r="S21" s="15" t="s">
        <v>4</v>
      </c>
      <c r="T21" s="15" t="s">
        <v>4</v>
      </c>
      <c r="U21" s="15" t="s">
        <v>4</v>
      </c>
      <c r="V21" s="15" t="s">
        <v>4</v>
      </c>
      <c r="W21" s="15" t="s">
        <v>4</v>
      </c>
      <c r="X21" s="15" t="s">
        <v>4</v>
      </c>
      <c r="Y21" s="15" t="s">
        <v>4</v>
      </c>
      <c r="Z21" s="15" t="s">
        <v>4</v>
      </c>
      <c r="AA21" s="15" t="s">
        <v>4</v>
      </c>
      <c r="AB21" s="15" t="s">
        <v>4</v>
      </c>
      <c r="AC21" s="15" t="s">
        <v>4</v>
      </c>
      <c r="AD21" s="15" t="s">
        <v>4</v>
      </c>
      <c r="AE21" s="15" t="s">
        <v>4</v>
      </c>
      <c r="AF21" s="15" t="s">
        <v>4</v>
      </c>
      <c r="AG21" s="15" t="s">
        <v>4</v>
      </c>
      <c r="AH21" s="15" t="s">
        <v>4</v>
      </c>
      <c r="AI21" s="15" t="s">
        <v>4</v>
      </c>
      <c r="AJ21" s="15" t="s">
        <v>4</v>
      </c>
      <c r="AK21" s="15" t="s">
        <v>4</v>
      </c>
      <c r="AL21" s="15" t="s">
        <v>4</v>
      </c>
      <c r="AM21" s="15" t="s">
        <v>4</v>
      </c>
      <c r="AN21" s="15" t="s">
        <v>4</v>
      </c>
      <c r="AO21" s="15" t="s">
        <v>4</v>
      </c>
      <c r="AP21" s="15" t="s">
        <v>4</v>
      </c>
      <c r="AQ21" s="15" t="s">
        <v>4</v>
      </c>
      <c r="AR21" s="15" t="s">
        <v>4</v>
      </c>
      <c r="AS21" s="15" t="s">
        <v>4</v>
      </c>
      <c r="AT21" s="15" t="s">
        <v>4</v>
      </c>
      <c r="AU21" s="15" t="s">
        <v>4</v>
      </c>
      <c r="AV21" s="15" t="s">
        <v>4</v>
      </c>
      <c r="AW21" s="15" t="s">
        <v>4</v>
      </c>
      <c r="AX21" s="15" t="s">
        <v>4</v>
      </c>
      <c r="AY21" s="15" t="s">
        <v>4</v>
      </c>
      <c r="AZ21" s="15" t="s">
        <v>4</v>
      </c>
      <c r="BA21" s="15" t="s">
        <v>4</v>
      </c>
      <c r="BB21" s="15" t="s">
        <v>4</v>
      </c>
      <c r="BC21" s="15" t="s">
        <v>4</v>
      </c>
      <c r="BD21" s="15" t="s">
        <v>4</v>
      </c>
      <c r="BE21" s="15" t="s">
        <v>4</v>
      </c>
      <c r="BF21" s="15" t="s">
        <v>4</v>
      </c>
      <c r="BG21" s="15" t="s">
        <v>4</v>
      </c>
      <c r="BH21" s="15" t="s">
        <v>4</v>
      </c>
      <c r="BI21" s="15" t="s">
        <v>4</v>
      </c>
      <c r="BJ21" s="15" t="s">
        <v>4</v>
      </c>
    </row>
    <row r="22" spans="1:64" ht="15" x14ac:dyDescent="0.25">
      <c r="A22" s="125"/>
      <c r="B22" s="14" t="s">
        <v>39</v>
      </c>
      <c r="C22" s="15" t="s">
        <v>4</v>
      </c>
      <c r="D22" s="15" t="s">
        <v>4</v>
      </c>
      <c r="E22" s="15" t="s">
        <v>4</v>
      </c>
      <c r="F22" s="15" t="s">
        <v>4</v>
      </c>
      <c r="G22" s="15" t="s">
        <v>4</v>
      </c>
      <c r="H22" s="15" t="s">
        <v>4</v>
      </c>
      <c r="I22" s="15" t="s">
        <v>4</v>
      </c>
      <c r="J22" s="15" t="s">
        <v>4</v>
      </c>
      <c r="K22" s="15" t="s">
        <v>4</v>
      </c>
      <c r="L22" s="15" t="s">
        <v>4</v>
      </c>
      <c r="M22" s="15" t="s">
        <v>4</v>
      </c>
      <c r="N22" s="15" t="s">
        <v>4</v>
      </c>
      <c r="O22" s="15" t="s">
        <v>4</v>
      </c>
      <c r="P22" s="15" t="s">
        <v>4</v>
      </c>
      <c r="Q22" s="15" t="s">
        <v>4</v>
      </c>
      <c r="R22" s="15" t="s">
        <v>4</v>
      </c>
      <c r="S22" s="15" t="s">
        <v>4</v>
      </c>
      <c r="T22" s="15" t="s">
        <v>4</v>
      </c>
      <c r="U22" s="15" t="s">
        <v>4</v>
      </c>
      <c r="V22" s="15" t="s">
        <v>4</v>
      </c>
      <c r="W22" s="15" t="s">
        <v>4</v>
      </c>
      <c r="X22" s="15" t="s">
        <v>4</v>
      </c>
      <c r="Y22" s="15" t="s">
        <v>4</v>
      </c>
      <c r="Z22" s="15" t="s">
        <v>4</v>
      </c>
      <c r="AA22" s="15" t="s">
        <v>4</v>
      </c>
      <c r="AB22" s="15" t="s">
        <v>4</v>
      </c>
      <c r="AC22" s="15" t="s">
        <v>4</v>
      </c>
      <c r="AD22" s="15" t="s">
        <v>4</v>
      </c>
      <c r="AE22" s="15" t="s">
        <v>4</v>
      </c>
      <c r="AF22" s="15" t="s">
        <v>4</v>
      </c>
      <c r="AG22" s="15" t="s">
        <v>4</v>
      </c>
      <c r="AH22" s="15" t="s">
        <v>4</v>
      </c>
      <c r="AI22" s="15" t="s">
        <v>4</v>
      </c>
      <c r="AJ22" s="15" t="s">
        <v>4</v>
      </c>
      <c r="AK22" s="15" t="s">
        <v>4</v>
      </c>
      <c r="AL22" s="15" t="s">
        <v>4</v>
      </c>
      <c r="AM22" s="15" t="s">
        <v>4</v>
      </c>
      <c r="AN22" s="15" t="s">
        <v>4</v>
      </c>
      <c r="AO22" s="15" t="s">
        <v>4</v>
      </c>
      <c r="AP22" s="15" t="s">
        <v>4</v>
      </c>
      <c r="AQ22" s="15" t="s">
        <v>4</v>
      </c>
      <c r="AR22" s="15" t="s">
        <v>4</v>
      </c>
      <c r="AS22" s="15" t="s">
        <v>4</v>
      </c>
      <c r="AT22" s="15" t="s">
        <v>4</v>
      </c>
      <c r="AU22" s="15" t="s">
        <v>4</v>
      </c>
      <c r="AV22" s="15" t="s">
        <v>4</v>
      </c>
      <c r="AW22" s="15" t="s">
        <v>4</v>
      </c>
      <c r="AX22" s="15" t="s">
        <v>4</v>
      </c>
      <c r="AY22" s="15" t="s">
        <v>4</v>
      </c>
      <c r="AZ22" s="15" t="s">
        <v>4</v>
      </c>
      <c r="BA22" s="15" t="s">
        <v>4</v>
      </c>
      <c r="BB22" s="15" t="s">
        <v>4</v>
      </c>
      <c r="BC22" s="15" t="s">
        <v>4</v>
      </c>
      <c r="BD22" s="15" t="s">
        <v>4</v>
      </c>
      <c r="BE22" s="15" t="s">
        <v>4</v>
      </c>
      <c r="BF22" s="15" t="s">
        <v>4</v>
      </c>
      <c r="BG22" s="15" t="s">
        <v>4</v>
      </c>
      <c r="BH22" s="15" t="s">
        <v>4</v>
      </c>
      <c r="BI22" s="15" t="s">
        <v>4</v>
      </c>
      <c r="BJ22" s="15" t="s">
        <v>4</v>
      </c>
    </row>
    <row r="23" spans="1:64" ht="43.5" x14ac:dyDescent="0.25">
      <c r="A23" s="125"/>
      <c r="B23" s="14" t="s">
        <v>43</v>
      </c>
      <c r="C23" s="15" t="s">
        <v>4</v>
      </c>
      <c r="D23" s="15" t="s">
        <v>4</v>
      </c>
      <c r="E23" s="15" t="s">
        <v>4</v>
      </c>
      <c r="F23" s="15" t="s">
        <v>4</v>
      </c>
      <c r="G23" s="15" t="s">
        <v>4</v>
      </c>
      <c r="H23" s="15" t="s">
        <v>4</v>
      </c>
      <c r="I23" s="15" t="s">
        <v>4</v>
      </c>
      <c r="J23" s="15" t="s">
        <v>4</v>
      </c>
      <c r="K23" s="15" t="s">
        <v>4</v>
      </c>
      <c r="L23" s="15" t="s">
        <v>4</v>
      </c>
      <c r="M23" s="15" t="s">
        <v>4</v>
      </c>
      <c r="N23" s="15" t="s">
        <v>4</v>
      </c>
      <c r="O23" s="15" t="s">
        <v>4</v>
      </c>
      <c r="P23" s="15" t="s">
        <v>4</v>
      </c>
      <c r="Q23" s="15" t="s">
        <v>4</v>
      </c>
      <c r="R23" s="15" t="s">
        <v>4</v>
      </c>
      <c r="S23" s="15" t="s">
        <v>4</v>
      </c>
      <c r="T23" s="15" t="s">
        <v>4</v>
      </c>
      <c r="U23" s="15" t="s">
        <v>4</v>
      </c>
      <c r="V23" s="15" t="s">
        <v>4</v>
      </c>
      <c r="W23" s="15" t="s">
        <v>4</v>
      </c>
      <c r="X23" s="15" t="s">
        <v>4</v>
      </c>
      <c r="Y23" s="15" t="s">
        <v>4</v>
      </c>
      <c r="Z23" s="15" t="s">
        <v>4</v>
      </c>
      <c r="AA23" s="15" t="s">
        <v>4</v>
      </c>
      <c r="AB23" s="15" t="s">
        <v>4</v>
      </c>
      <c r="AC23" s="15" t="s">
        <v>4</v>
      </c>
      <c r="AD23" s="15" t="s">
        <v>4</v>
      </c>
      <c r="AE23" s="15" t="s">
        <v>4</v>
      </c>
      <c r="AF23" s="15" t="s">
        <v>4</v>
      </c>
      <c r="AG23" s="15" t="s">
        <v>4</v>
      </c>
      <c r="AH23" s="15" t="s">
        <v>4</v>
      </c>
      <c r="AI23" s="15" t="s">
        <v>4</v>
      </c>
      <c r="AJ23" s="15" t="s">
        <v>4</v>
      </c>
      <c r="AK23" s="15" t="s">
        <v>4</v>
      </c>
      <c r="AL23" s="15" t="s">
        <v>4</v>
      </c>
      <c r="AM23" s="15" t="s">
        <v>4</v>
      </c>
      <c r="AN23" s="15" t="s">
        <v>4</v>
      </c>
      <c r="AO23" s="15" t="s">
        <v>4</v>
      </c>
      <c r="AP23" s="15" t="s">
        <v>4</v>
      </c>
      <c r="AQ23" s="15" t="s">
        <v>4</v>
      </c>
      <c r="AR23" s="15" t="s">
        <v>4</v>
      </c>
      <c r="AS23" s="15" t="s">
        <v>4</v>
      </c>
      <c r="AT23" s="15" t="s">
        <v>4</v>
      </c>
      <c r="AU23" s="15" t="s">
        <v>4</v>
      </c>
      <c r="AV23" s="15" t="s">
        <v>4</v>
      </c>
      <c r="AW23" s="15" t="s">
        <v>4</v>
      </c>
      <c r="AX23" s="15" t="s">
        <v>4</v>
      </c>
      <c r="AY23" s="15" t="s">
        <v>4</v>
      </c>
      <c r="AZ23" s="15" t="s">
        <v>4</v>
      </c>
      <c r="BA23" s="15" t="s">
        <v>4</v>
      </c>
      <c r="BB23" s="15" t="s">
        <v>4</v>
      </c>
      <c r="BC23" s="15" t="s">
        <v>4</v>
      </c>
      <c r="BD23" s="15" t="s">
        <v>4</v>
      </c>
      <c r="BE23" s="15" t="s">
        <v>4</v>
      </c>
      <c r="BF23" s="15" t="s">
        <v>4</v>
      </c>
      <c r="BG23" s="15" t="s">
        <v>4</v>
      </c>
      <c r="BH23" s="15" t="s">
        <v>4</v>
      </c>
      <c r="BI23" s="15" t="s">
        <v>4</v>
      </c>
      <c r="BJ23" s="15" t="s">
        <v>4</v>
      </c>
    </row>
    <row r="24" spans="1:64" ht="15.75" thickBot="1" x14ac:dyDescent="0.25">
      <c r="A24" s="126"/>
      <c r="B24" s="18" t="s">
        <v>23</v>
      </c>
      <c r="C24" s="19" t="s">
        <v>4</v>
      </c>
      <c r="D24" s="19" t="s">
        <v>4</v>
      </c>
      <c r="E24" s="19" t="s">
        <v>4</v>
      </c>
      <c r="F24" s="19" t="s">
        <v>4</v>
      </c>
      <c r="G24" s="19" t="s">
        <v>4</v>
      </c>
      <c r="H24" s="19" t="s">
        <v>4</v>
      </c>
      <c r="I24" s="19" t="s">
        <v>4</v>
      </c>
      <c r="J24" s="19" t="s">
        <v>4</v>
      </c>
      <c r="K24" s="19" t="s">
        <v>4</v>
      </c>
      <c r="L24" s="19" t="s">
        <v>4</v>
      </c>
      <c r="M24" s="19" t="s">
        <v>4</v>
      </c>
      <c r="N24" s="19" t="s">
        <v>4</v>
      </c>
      <c r="O24" s="19" t="s">
        <v>4</v>
      </c>
      <c r="P24" s="19" t="s">
        <v>4</v>
      </c>
      <c r="Q24" s="19" t="s">
        <v>4</v>
      </c>
      <c r="R24" s="19" t="s">
        <v>4</v>
      </c>
      <c r="S24" s="19" t="s">
        <v>4</v>
      </c>
      <c r="T24" s="19" t="s">
        <v>4</v>
      </c>
      <c r="U24" s="19" t="s">
        <v>4</v>
      </c>
      <c r="V24" s="19" t="s">
        <v>4</v>
      </c>
      <c r="W24" s="19" t="s">
        <v>4</v>
      </c>
      <c r="X24" s="19" t="s">
        <v>4</v>
      </c>
      <c r="Y24" s="19" t="s">
        <v>4</v>
      </c>
      <c r="Z24" s="19" t="s">
        <v>4</v>
      </c>
      <c r="AA24" s="19" t="s">
        <v>4</v>
      </c>
      <c r="AB24" s="19" t="s">
        <v>4</v>
      </c>
      <c r="AC24" s="19" t="s">
        <v>4</v>
      </c>
      <c r="AD24" s="19" t="s">
        <v>4</v>
      </c>
      <c r="AE24" s="19" t="s">
        <v>4</v>
      </c>
      <c r="AF24" s="19" t="s">
        <v>4</v>
      </c>
      <c r="AG24" s="19" t="s">
        <v>4</v>
      </c>
      <c r="AH24" s="19" t="s">
        <v>4</v>
      </c>
      <c r="AI24" s="19" t="s">
        <v>4</v>
      </c>
      <c r="AJ24" s="19" t="s">
        <v>4</v>
      </c>
      <c r="AK24" s="19" t="s">
        <v>4</v>
      </c>
      <c r="AL24" s="19" t="s">
        <v>4</v>
      </c>
      <c r="AM24" s="19" t="s">
        <v>4</v>
      </c>
      <c r="AN24" s="19" t="s">
        <v>4</v>
      </c>
      <c r="AO24" s="19" t="s">
        <v>4</v>
      </c>
      <c r="AP24" s="19" t="s">
        <v>4</v>
      </c>
      <c r="AQ24" s="19" t="s">
        <v>4</v>
      </c>
      <c r="AR24" s="19" t="s">
        <v>4</v>
      </c>
      <c r="AS24" s="19" t="s">
        <v>4</v>
      </c>
      <c r="AT24" s="19" t="s">
        <v>4</v>
      </c>
      <c r="AU24" s="19" t="s">
        <v>4</v>
      </c>
      <c r="AV24" s="19" t="s">
        <v>4</v>
      </c>
      <c r="AW24" s="19" t="s">
        <v>4</v>
      </c>
      <c r="AX24" s="19" t="s">
        <v>4</v>
      </c>
      <c r="AY24" s="19" t="s">
        <v>4</v>
      </c>
      <c r="AZ24" s="19" t="s">
        <v>4</v>
      </c>
      <c r="BA24" s="19" t="s">
        <v>4</v>
      </c>
      <c r="BB24" s="19" t="s">
        <v>4</v>
      </c>
      <c r="BC24" s="19" t="s">
        <v>4</v>
      </c>
      <c r="BD24" s="19" t="s">
        <v>4</v>
      </c>
      <c r="BE24" s="19" t="s">
        <v>4</v>
      </c>
      <c r="BF24" s="19" t="s">
        <v>4</v>
      </c>
      <c r="BG24" s="19" t="s">
        <v>4</v>
      </c>
      <c r="BH24" s="19" t="s">
        <v>4</v>
      </c>
      <c r="BI24" s="19" t="s">
        <v>4</v>
      </c>
      <c r="BJ24" s="19" t="s">
        <v>4</v>
      </c>
    </row>
    <row r="25" spans="1:64" ht="15" x14ac:dyDescent="0.25">
      <c r="A25" s="124" t="s">
        <v>54</v>
      </c>
      <c r="B25" s="14" t="s">
        <v>55</v>
      </c>
      <c r="C25" s="15" t="s">
        <v>4</v>
      </c>
      <c r="D25" s="15" t="s">
        <v>4</v>
      </c>
      <c r="E25" s="15" t="s">
        <v>4</v>
      </c>
      <c r="F25" s="15" t="s">
        <v>4</v>
      </c>
      <c r="G25" s="15" t="s">
        <v>4</v>
      </c>
      <c r="H25" s="15" t="s">
        <v>4</v>
      </c>
      <c r="I25" s="15" t="s">
        <v>4</v>
      </c>
      <c r="J25" s="15" t="s">
        <v>4</v>
      </c>
      <c r="K25" s="15" t="s">
        <v>4</v>
      </c>
      <c r="L25" s="15" t="s">
        <v>4</v>
      </c>
      <c r="M25" s="15" t="s">
        <v>4</v>
      </c>
      <c r="N25" s="15" t="s">
        <v>4</v>
      </c>
      <c r="O25" s="15" t="s">
        <v>4</v>
      </c>
      <c r="P25" s="15" t="s">
        <v>4</v>
      </c>
      <c r="Q25" s="15" t="s">
        <v>4</v>
      </c>
      <c r="R25" s="15" t="s">
        <v>4</v>
      </c>
      <c r="S25" s="15" t="s">
        <v>4</v>
      </c>
      <c r="T25" s="15" t="s">
        <v>4</v>
      </c>
      <c r="U25" s="15" t="s">
        <v>4</v>
      </c>
      <c r="V25" s="15" t="s">
        <v>4</v>
      </c>
      <c r="W25" s="15" t="s">
        <v>4</v>
      </c>
      <c r="X25" s="15" t="s">
        <v>4</v>
      </c>
      <c r="Y25" s="15" t="s">
        <v>4</v>
      </c>
      <c r="Z25" s="15" t="s">
        <v>4</v>
      </c>
      <c r="AA25" s="15" t="s">
        <v>4</v>
      </c>
      <c r="AB25" s="15" t="s">
        <v>4</v>
      </c>
      <c r="AC25" s="15" t="s">
        <v>4</v>
      </c>
      <c r="AD25" s="15" t="s">
        <v>4</v>
      </c>
      <c r="AE25" s="15" t="s">
        <v>4</v>
      </c>
      <c r="AF25" s="15" t="s">
        <v>4</v>
      </c>
      <c r="AG25" s="15" t="s">
        <v>4</v>
      </c>
      <c r="AH25" s="15" t="s">
        <v>4</v>
      </c>
      <c r="AI25" s="15" t="s">
        <v>4</v>
      </c>
      <c r="AJ25" s="15" t="s">
        <v>4</v>
      </c>
      <c r="AK25" s="15" t="s">
        <v>4</v>
      </c>
      <c r="AL25" s="15" t="s">
        <v>4</v>
      </c>
      <c r="AM25" s="15" t="s">
        <v>4</v>
      </c>
      <c r="AN25" s="15" t="s">
        <v>4</v>
      </c>
      <c r="AO25" s="15" t="s">
        <v>4</v>
      </c>
      <c r="AP25" s="15" t="s">
        <v>4</v>
      </c>
      <c r="AQ25" s="15" t="s">
        <v>4</v>
      </c>
      <c r="AR25" s="15" t="s">
        <v>4</v>
      </c>
      <c r="AS25" s="15" t="s">
        <v>4</v>
      </c>
      <c r="AT25" s="15" t="s">
        <v>4</v>
      </c>
      <c r="AU25" s="15" t="s">
        <v>4</v>
      </c>
      <c r="AV25" s="15" t="s">
        <v>4</v>
      </c>
      <c r="AW25" s="15" t="s">
        <v>4</v>
      </c>
      <c r="AX25" s="15" t="s">
        <v>4</v>
      </c>
      <c r="AY25" s="15" t="s">
        <v>4</v>
      </c>
      <c r="AZ25" s="15" t="s">
        <v>4</v>
      </c>
      <c r="BA25" s="15" t="s">
        <v>4</v>
      </c>
      <c r="BB25" s="15" t="s">
        <v>4</v>
      </c>
      <c r="BC25" s="15" t="s">
        <v>4</v>
      </c>
      <c r="BD25" s="15" t="s">
        <v>4</v>
      </c>
      <c r="BE25" s="15" t="s">
        <v>4</v>
      </c>
      <c r="BF25" s="15" t="s">
        <v>4</v>
      </c>
      <c r="BG25" s="15" t="s">
        <v>4</v>
      </c>
      <c r="BH25" s="15" t="s">
        <v>4</v>
      </c>
      <c r="BI25" s="15" t="s">
        <v>4</v>
      </c>
      <c r="BJ25" s="15" t="s">
        <v>4</v>
      </c>
    </row>
    <row r="26" spans="1:64" ht="57.75" x14ac:dyDescent="0.25">
      <c r="A26" s="125"/>
      <c r="B26" s="14" t="s">
        <v>56</v>
      </c>
      <c r="C26" s="15" t="s">
        <v>4</v>
      </c>
      <c r="D26" s="15" t="s">
        <v>4</v>
      </c>
      <c r="E26" s="15" t="s">
        <v>4</v>
      </c>
      <c r="F26" s="15" t="s">
        <v>4</v>
      </c>
      <c r="G26" s="15" t="s">
        <v>4</v>
      </c>
      <c r="H26" s="15" t="s">
        <v>4</v>
      </c>
      <c r="I26" s="15" t="s">
        <v>4</v>
      </c>
      <c r="J26" s="15" t="s">
        <v>4</v>
      </c>
      <c r="K26" s="15" t="s">
        <v>4</v>
      </c>
      <c r="L26" s="15" t="s">
        <v>4</v>
      </c>
      <c r="M26" s="15" t="s">
        <v>4</v>
      </c>
      <c r="N26" s="15" t="s">
        <v>4</v>
      </c>
      <c r="O26" s="15" t="s">
        <v>4</v>
      </c>
      <c r="P26" s="15" t="s">
        <v>4</v>
      </c>
      <c r="Q26" s="15" t="s">
        <v>4</v>
      </c>
      <c r="R26" s="15" t="s">
        <v>4</v>
      </c>
      <c r="S26" s="15" t="s">
        <v>4</v>
      </c>
      <c r="T26" s="15" t="s">
        <v>4</v>
      </c>
      <c r="U26" s="15" t="s">
        <v>4</v>
      </c>
      <c r="V26" s="15" t="s">
        <v>4</v>
      </c>
      <c r="W26" s="15" t="s">
        <v>4</v>
      </c>
      <c r="X26" s="15" t="s">
        <v>4</v>
      </c>
      <c r="Y26" s="15" t="s">
        <v>4</v>
      </c>
      <c r="Z26" s="15" t="s">
        <v>4</v>
      </c>
      <c r="AA26" s="15" t="s">
        <v>4</v>
      </c>
      <c r="AB26" s="15" t="s">
        <v>4</v>
      </c>
      <c r="AC26" s="15" t="s">
        <v>4</v>
      </c>
      <c r="AD26" s="15" t="s">
        <v>4</v>
      </c>
      <c r="AE26" s="15" t="s">
        <v>4</v>
      </c>
      <c r="AF26" s="15" t="s">
        <v>4</v>
      </c>
      <c r="AG26" s="15" t="s">
        <v>4</v>
      </c>
      <c r="AH26" s="15" t="s">
        <v>4</v>
      </c>
      <c r="AI26" s="15" t="s">
        <v>4</v>
      </c>
      <c r="AJ26" s="15" t="s">
        <v>4</v>
      </c>
      <c r="AK26" s="15" t="s">
        <v>4</v>
      </c>
      <c r="AL26" s="15" t="s">
        <v>4</v>
      </c>
      <c r="AM26" s="15" t="s">
        <v>4</v>
      </c>
      <c r="AN26" s="15" t="s">
        <v>4</v>
      </c>
      <c r="AO26" s="15" t="s">
        <v>4</v>
      </c>
      <c r="AP26" s="15" t="s">
        <v>4</v>
      </c>
      <c r="AQ26" s="15" t="s">
        <v>4</v>
      </c>
      <c r="AR26" s="15" t="s">
        <v>4</v>
      </c>
      <c r="AS26" s="15" t="s">
        <v>4</v>
      </c>
      <c r="AT26" s="15" t="s">
        <v>4</v>
      </c>
      <c r="AU26" s="15" t="s">
        <v>4</v>
      </c>
      <c r="AV26" s="15" t="s">
        <v>4</v>
      </c>
      <c r="AW26" s="15" t="s">
        <v>4</v>
      </c>
      <c r="AX26" s="15" t="s">
        <v>4</v>
      </c>
      <c r="AY26" s="15" t="s">
        <v>4</v>
      </c>
      <c r="AZ26" s="15" t="s">
        <v>4</v>
      </c>
      <c r="BA26" s="15" t="s">
        <v>4</v>
      </c>
      <c r="BB26" s="15" t="s">
        <v>4</v>
      </c>
      <c r="BC26" s="15" t="s">
        <v>4</v>
      </c>
      <c r="BD26" s="15" t="s">
        <v>4</v>
      </c>
      <c r="BE26" s="15" t="s">
        <v>4</v>
      </c>
      <c r="BF26" s="15" t="s">
        <v>4</v>
      </c>
      <c r="BG26" s="15" t="s">
        <v>4</v>
      </c>
      <c r="BH26" s="15" t="s">
        <v>4</v>
      </c>
      <c r="BI26" s="15" t="s">
        <v>4</v>
      </c>
      <c r="BJ26" s="15" t="s">
        <v>4</v>
      </c>
    </row>
    <row r="27" spans="1:64" ht="15" x14ac:dyDescent="0.25">
      <c r="A27" s="125"/>
      <c r="B27" s="14" t="s">
        <v>39</v>
      </c>
      <c r="C27" s="15" t="s">
        <v>4</v>
      </c>
      <c r="D27" s="15" t="s">
        <v>4</v>
      </c>
      <c r="E27" s="15" t="s">
        <v>4</v>
      </c>
      <c r="F27" s="15" t="s">
        <v>4</v>
      </c>
      <c r="G27" s="15" t="s">
        <v>4</v>
      </c>
      <c r="H27" s="15" t="s">
        <v>4</v>
      </c>
      <c r="I27" s="15" t="s">
        <v>4</v>
      </c>
      <c r="J27" s="15" t="s">
        <v>4</v>
      </c>
      <c r="K27" s="15" t="s">
        <v>4</v>
      </c>
      <c r="L27" s="15" t="s">
        <v>4</v>
      </c>
      <c r="M27" s="15" t="s">
        <v>4</v>
      </c>
      <c r="N27" s="15" t="s">
        <v>4</v>
      </c>
      <c r="O27" s="15" t="s">
        <v>4</v>
      </c>
      <c r="P27" s="15" t="s">
        <v>4</v>
      </c>
      <c r="Q27" s="15" t="s">
        <v>4</v>
      </c>
      <c r="R27" s="15" t="s">
        <v>4</v>
      </c>
      <c r="S27" s="15" t="s">
        <v>4</v>
      </c>
      <c r="T27" s="15" t="s">
        <v>4</v>
      </c>
      <c r="U27" s="15" t="s">
        <v>4</v>
      </c>
      <c r="V27" s="15" t="s">
        <v>4</v>
      </c>
      <c r="W27" s="15" t="s">
        <v>4</v>
      </c>
      <c r="X27" s="15" t="s">
        <v>4</v>
      </c>
      <c r="Y27" s="15" t="s">
        <v>4</v>
      </c>
      <c r="Z27" s="15" t="s">
        <v>4</v>
      </c>
      <c r="AA27" s="15" t="s">
        <v>4</v>
      </c>
      <c r="AB27" s="15" t="s">
        <v>4</v>
      </c>
      <c r="AC27" s="15" t="s">
        <v>4</v>
      </c>
      <c r="AD27" s="15" t="s">
        <v>4</v>
      </c>
      <c r="AE27" s="15" t="s">
        <v>4</v>
      </c>
      <c r="AF27" s="15" t="s">
        <v>4</v>
      </c>
      <c r="AG27" s="15" t="s">
        <v>4</v>
      </c>
      <c r="AH27" s="15" t="s">
        <v>4</v>
      </c>
      <c r="AI27" s="15" t="s">
        <v>4</v>
      </c>
      <c r="AJ27" s="15" t="s">
        <v>4</v>
      </c>
      <c r="AK27" s="15" t="s">
        <v>4</v>
      </c>
      <c r="AL27" s="15" t="s">
        <v>4</v>
      </c>
      <c r="AM27" s="15" t="s">
        <v>4</v>
      </c>
      <c r="AN27" s="15" t="s">
        <v>4</v>
      </c>
      <c r="AO27" s="15" t="s">
        <v>4</v>
      </c>
      <c r="AP27" s="15" t="s">
        <v>4</v>
      </c>
      <c r="AQ27" s="15" t="s">
        <v>4</v>
      </c>
      <c r="AR27" s="15" t="s">
        <v>4</v>
      </c>
      <c r="AS27" s="15" t="s">
        <v>4</v>
      </c>
      <c r="AT27" s="15" t="s">
        <v>4</v>
      </c>
      <c r="AU27" s="15" t="s">
        <v>4</v>
      </c>
      <c r="AV27" s="15" t="s">
        <v>4</v>
      </c>
      <c r="AW27" s="15" t="s">
        <v>4</v>
      </c>
      <c r="AX27" s="15" t="s">
        <v>4</v>
      </c>
      <c r="AY27" s="15" t="s">
        <v>4</v>
      </c>
      <c r="AZ27" s="15" t="s">
        <v>4</v>
      </c>
      <c r="BA27" s="15" t="s">
        <v>4</v>
      </c>
      <c r="BB27" s="15" t="s">
        <v>4</v>
      </c>
      <c r="BC27" s="15" t="s">
        <v>4</v>
      </c>
      <c r="BD27" s="15" t="s">
        <v>4</v>
      </c>
      <c r="BE27" s="15" t="s">
        <v>4</v>
      </c>
      <c r="BF27" s="15" t="s">
        <v>4</v>
      </c>
      <c r="BG27" s="15" t="s">
        <v>4</v>
      </c>
      <c r="BH27" s="15" t="s">
        <v>4</v>
      </c>
      <c r="BI27" s="15" t="s">
        <v>4</v>
      </c>
      <c r="BJ27" s="15" t="s">
        <v>4</v>
      </c>
    </row>
    <row r="28" spans="1:64" ht="43.5" x14ac:dyDescent="0.25">
      <c r="A28" s="125"/>
      <c r="B28" s="14" t="s">
        <v>57</v>
      </c>
      <c r="C28" s="15" t="s">
        <v>4</v>
      </c>
      <c r="D28" s="15" t="s">
        <v>4</v>
      </c>
      <c r="E28" s="15" t="s">
        <v>4</v>
      </c>
      <c r="F28" s="15" t="s">
        <v>4</v>
      </c>
      <c r="G28" s="15" t="s">
        <v>4</v>
      </c>
      <c r="H28" s="15" t="s">
        <v>4</v>
      </c>
      <c r="I28" s="15" t="s">
        <v>4</v>
      </c>
      <c r="J28" s="15" t="s">
        <v>4</v>
      </c>
      <c r="K28" s="15" t="s">
        <v>4</v>
      </c>
      <c r="L28" s="15" t="s">
        <v>4</v>
      </c>
      <c r="M28" s="15" t="s">
        <v>4</v>
      </c>
      <c r="N28" s="15" t="s">
        <v>4</v>
      </c>
      <c r="O28" s="15" t="s">
        <v>4</v>
      </c>
      <c r="P28" s="15" t="s">
        <v>4</v>
      </c>
      <c r="Q28" s="15" t="s">
        <v>4</v>
      </c>
      <c r="R28" s="15" t="s">
        <v>4</v>
      </c>
      <c r="S28" s="15" t="s">
        <v>4</v>
      </c>
      <c r="T28" s="15" t="s">
        <v>4</v>
      </c>
      <c r="U28" s="15" t="s">
        <v>4</v>
      </c>
      <c r="V28" s="15" t="s">
        <v>4</v>
      </c>
      <c r="W28" s="15" t="s">
        <v>4</v>
      </c>
      <c r="X28" s="15" t="s">
        <v>4</v>
      </c>
      <c r="Y28" s="15" t="s">
        <v>4</v>
      </c>
      <c r="Z28" s="15" t="s">
        <v>4</v>
      </c>
      <c r="AA28" s="15" t="s">
        <v>4</v>
      </c>
      <c r="AB28" s="15" t="s">
        <v>4</v>
      </c>
      <c r="AC28" s="15" t="s">
        <v>4</v>
      </c>
      <c r="AD28" s="15" t="s">
        <v>4</v>
      </c>
      <c r="AE28" s="15" t="s">
        <v>4</v>
      </c>
      <c r="AF28" s="15" t="s">
        <v>4</v>
      </c>
      <c r="AG28" s="15" t="s">
        <v>4</v>
      </c>
      <c r="AH28" s="15" t="s">
        <v>4</v>
      </c>
      <c r="AI28" s="15" t="s">
        <v>4</v>
      </c>
      <c r="AJ28" s="15" t="s">
        <v>4</v>
      </c>
      <c r="AK28" s="15" t="s">
        <v>4</v>
      </c>
      <c r="AL28" s="15" t="s">
        <v>4</v>
      </c>
      <c r="AM28" s="15" t="s">
        <v>4</v>
      </c>
      <c r="AN28" s="15" t="s">
        <v>4</v>
      </c>
      <c r="AO28" s="15" t="s">
        <v>4</v>
      </c>
      <c r="AP28" s="15" t="s">
        <v>4</v>
      </c>
      <c r="AQ28" s="15" t="s">
        <v>4</v>
      </c>
      <c r="AR28" s="15" t="s">
        <v>4</v>
      </c>
      <c r="AS28" s="15" t="s">
        <v>4</v>
      </c>
      <c r="AT28" s="15" t="s">
        <v>4</v>
      </c>
      <c r="AU28" s="15" t="s">
        <v>4</v>
      </c>
      <c r="AV28" s="15" t="s">
        <v>4</v>
      </c>
      <c r="AW28" s="15" t="s">
        <v>4</v>
      </c>
      <c r="AX28" s="15" t="s">
        <v>4</v>
      </c>
      <c r="AY28" s="15" t="s">
        <v>4</v>
      </c>
      <c r="AZ28" s="15" t="s">
        <v>4</v>
      </c>
      <c r="BA28" s="15" t="s">
        <v>4</v>
      </c>
      <c r="BB28" s="15" t="s">
        <v>4</v>
      </c>
      <c r="BC28" s="15" t="s">
        <v>4</v>
      </c>
      <c r="BD28" s="15" t="s">
        <v>4</v>
      </c>
      <c r="BE28" s="15" t="s">
        <v>4</v>
      </c>
      <c r="BF28" s="15" t="s">
        <v>4</v>
      </c>
      <c r="BG28" s="15" t="s">
        <v>4</v>
      </c>
      <c r="BH28" s="15" t="s">
        <v>4</v>
      </c>
      <c r="BI28" s="15" t="s">
        <v>4</v>
      </c>
      <c r="BJ28" s="15" t="s">
        <v>4</v>
      </c>
    </row>
    <row r="29" spans="1:64" ht="15.75" thickBot="1" x14ac:dyDescent="0.25">
      <c r="A29" s="126"/>
      <c r="B29" s="18" t="s">
        <v>23</v>
      </c>
      <c r="C29" s="19" t="s">
        <v>4</v>
      </c>
      <c r="D29" s="19" t="s">
        <v>4</v>
      </c>
      <c r="E29" s="19" t="s">
        <v>4</v>
      </c>
      <c r="F29" s="19" t="s">
        <v>4</v>
      </c>
      <c r="G29" s="19" t="s">
        <v>4</v>
      </c>
      <c r="H29" s="19" t="s">
        <v>4</v>
      </c>
      <c r="I29" s="19" t="s">
        <v>4</v>
      </c>
      <c r="J29" s="19" t="s">
        <v>4</v>
      </c>
      <c r="K29" s="19" t="s">
        <v>4</v>
      </c>
      <c r="L29" s="19" t="s">
        <v>4</v>
      </c>
      <c r="M29" s="19" t="s">
        <v>4</v>
      </c>
      <c r="N29" s="19" t="s">
        <v>4</v>
      </c>
      <c r="O29" s="19" t="s">
        <v>4</v>
      </c>
      <c r="P29" s="19" t="s">
        <v>4</v>
      </c>
      <c r="Q29" s="19" t="s">
        <v>4</v>
      </c>
      <c r="R29" s="19" t="s">
        <v>4</v>
      </c>
      <c r="S29" s="19" t="s">
        <v>4</v>
      </c>
      <c r="T29" s="19" t="s">
        <v>4</v>
      </c>
      <c r="U29" s="19" t="s">
        <v>4</v>
      </c>
      <c r="V29" s="19" t="s">
        <v>4</v>
      </c>
      <c r="W29" s="19" t="s">
        <v>4</v>
      </c>
      <c r="X29" s="19" t="s">
        <v>4</v>
      </c>
      <c r="Y29" s="19" t="s">
        <v>4</v>
      </c>
      <c r="Z29" s="19" t="s">
        <v>4</v>
      </c>
      <c r="AA29" s="19" t="s">
        <v>4</v>
      </c>
      <c r="AB29" s="19" t="s">
        <v>4</v>
      </c>
      <c r="AC29" s="19" t="s">
        <v>4</v>
      </c>
      <c r="AD29" s="19" t="s">
        <v>4</v>
      </c>
      <c r="AE29" s="19" t="s">
        <v>4</v>
      </c>
      <c r="AF29" s="19" t="s">
        <v>4</v>
      </c>
      <c r="AG29" s="19" t="s">
        <v>4</v>
      </c>
      <c r="AH29" s="19" t="s">
        <v>4</v>
      </c>
      <c r="AI29" s="19" t="s">
        <v>4</v>
      </c>
      <c r="AJ29" s="19" t="s">
        <v>4</v>
      </c>
      <c r="AK29" s="19" t="s">
        <v>4</v>
      </c>
      <c r="AL29" s="19" t="s">
        <v>4</v>
      </c>
      <c r="AM29" s="19" t="s">
        <v>4</v>
      </c>
      <c r="AN29" s="19" t="s">
        <v>4</v>
      </c>
      <c r="AO29" s="19" t="s">
        <v>4</v>
      </c>
      <c r="AP29" s="19" t="s">
        <v>4</v>
      </c>
      <c r="AQ29" s="19" t="s">
        <v>4</v>
      </c>
      <c r="AR29" s="19" t="s">
        <v>4</v>
      </c>
      <c r="AS29" s="19" t="s">
        <v>4</v>
      </c>
      <c r="AT29" s="19" t="s">
        <v>4</v>
      </c>
      <c r="AU29" s="19" t="s">
        <v>4</v>
      </c>
      <c r="AV29" s="19" t="s">
        <v>4</v>
      </c>
      <c r="AW29" s="19" t="s">
        <v>4</v>
      </c>
      <c r="AX29" s="19" t="s">
        <v>4</v>
      </c>
      <c r="AY29" s="19" t="s">
        <v>4</v>
      </c>
      <c r="AZ29" s="19" t="s">
        <v>4</v>
      </c>
      <c r="BA29" s="19" t="s">
        <v>4</v>
      </c>
      <c r="BB29" s="19" t="s">
        <v>4</v>
      </c>
      <c r="BC29" s="19" t="s">
        <v>4</v>
      </c>
      <c r="BD29" s="19" t="s">
        <v>4</v>
      </c>
      <c r="BE29" s="19" t="s">
        <v>4</v>
      </c>
      <c r="BF29" s="19" t="s">
        <v>4</v>
      </c>
      <c r="BG29" s="19" t="s">
        <v>4</v>
      </c>
      <c r="BH29" s="19" t="s">
        <v>4</v>
      </c>
      <c r="BI29" s="19" t="s">
        <v>4</v>
      </c>
      <c r="BJ29" s="19" t="s">
        <v>4</v>
      </c>
    </row>
    <row r="30" spans="1:64" ht="43.5" x14ac:dyDescent="0.25">
      <c r="A30" s="124" t="s">
        <v>40</v>
      </c>
      <c r="B30" s="14" t="s">
        <v>77</v>
      </c>
      <c r="C30" s="15" t="s">
        <v>4</v>
      </c>
      <c r="D30" s="15" t="s">
        <v>4</v>
      </c>
      <c r="E30" s="15" t="s">
        <v>4</v>
      </c>
      <c r="F30" s="15" t="s">
        <v>4</v>
      </c>
      <c r="G30" s="15" t="s">
        <v>4</v>
      </c>
      <c r="H30" s="15" t="s">
        <v>4</v>
      </c>
      <c r="I30" s="15" t="s">
        <v>4</v>
      </c>
      <c r="J30" s="15" t="s">
        <v>4</v>
      </c>
      <c r="K30" s="15" t="s">
        <v>4</v>
      </c>
      <c r="L30" s="15" t="s">
        <v>4</v>
      </c>
      <c r="M30" s="15" t="s">
        <v>4</v>
      </c>
      <c r="N30" s="15" t="s">
        <v>4</v>
      </c>
      <c r="O30" s="15" t="s">
        <v>4</v>
      </c>
      <c r="P30" s="15" t="s">
        <v>4</v>
      </c>
      <c r="Q30" s="15" t="s">
        <v>4</v>
      </c>
      <c r="R30" s="15" t="s">
        <v>4</v>
      </c>
      <c r="S30" s="15" t="s">
        <v>4</v>
      </c>
      <c r="T30" s="15" t="s">
        <v>4</v>
      </c>
      <c r="U30" s="15" t="s">
        <v>4</v>
      </c>
      <c r="V30" s="15" t="s">
        <v>4</v>
      </c>
      <c r="W30" s="15" t="s">
        <v>4</v>
      </c>
      <c r="X30" s="15" t="s">
        <v>4</v>
      </c>
      <c r="Y30" s="15" t="s">
        <v>4</v>
      </c>
      <c r="Z30" s="15" t="s">
        <v>4</v>
      </c>
      <c r="AA30" s="15" t="s">
        <v>4</v>
      </c>
      <c r="AB30" s="15" t="s">
        <v>4</v>
      </c>
      <c r="AC30" s="15" t="s">
        <v>4</v>
      </c>
      <c r="AD30" s="15" t="s">
        <v>4</v>
      </c>
      <c r="AE30" s="15" t="s">
        <v>4</v>
      </c>
      <c r="AF30" s="15" t="s">
        <v>4</v>
      </c>
      <c r="AG30" s="15" t="s">
        <v>4</v>
      </c>
      <c r="AH30" s="15" t="s">
        <v>4</v>
      </c>
      <c r="AI30" s="15" t="s">
        <v>4</v>
      </c>
      <c r="AJ30" s="15" t="s">
        <v>4</v>
      </c>
      <c r="AK30" s="15" t="s">
        <v>4</v>
      </c>
      <c r="AL30" s="15" t="s">
        <v>4</v>
      </c>
      <c r="AM30" s="15" t="s">
        <v>4</v>
      </c>
      <c r="AN30" s="15" t="s">
        <v>4</v>
      </c>
      <c r="AO30" s="15" t="s">
        <v>4</v>
      </c>
      <c r="AP30" s="15" t="s">
        <v>4</v>
      </c>
      <c r="AQ30" s="15" t="s">
        <v>4</v>
      </c>
      <c r="AR30" s="15" t="s">
        <v>4</v>
      </c>
      <c r="AS30" s="15" t="s">
        <v>4</v>
      </c>
      <c r="AT30" s="15" t="s">
        <v>4</v>
      </c>
      <c r="AU30" s="15" t="s">
        <v>4</v>
      </c>
      <c r="AV30" s="15" t="s">
        <v>4</v>
      </c>
      <c r="AW30" s="15" t="s">
        <v>4</v>
      </c>
      <c r="AX30" s="15" t="s">
        <v>4</v>
      </c>
      <c r="AY30" s="15" t="s">
        <v>4</v>
      </c>
      <c r="AZ30" s="15" t="s">
        <v>4</v>
      </c>
      <c r="BA30" s="15" t="s">
        <v>4</v>
      </c>
      <c r="BB30" s="15" t="s">
        <v>4</v>
      </c>
      <c r="BC30" s="15" t="s">
        <v>4</v>
      </c>
      <c r="BD30" s="15" t="s">
        <v>4</v>
      </c>
      <c r="BE30" s="15" t="s">
        <v>4</v>
      </c>
      <c r="BF30" s="15" t="s">
        <v>4</v>
      </c>
      <c r="BG30" s="15" t="s">
        <v>4</v>
      </c>
      <c r="BH30" s="15" t="s">
        <v>4</v>
      </c>
      <c r="BI30" s="15" t="s">
        <v>4</v>
      </c>
      <c r="BJ30" s="15" t="s">
        <v>4</v>
      </c>
    </row>
    <row r="31" spans="1:64" ht="43.5" x14ac:dyDescent="0.25">
      <c r="A31" s="125"/>
      <c r="B31" s="14" t="s">
        <v>76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</row>
    <row r="32" spans="1:64" ht="43.5" x14ac:dyDescent="0.25">
      <c r="A32" s="125"/>
      <c r="B32" s="14" t="s">
        <v>44</v>
      </c>
      <c r="C32" s="15" t="s">
        <v>4</v>
      </c>
      <c r="D32" s="15" t="s">
        <v>4</v>
      </c>
      <c r="E32" s="15" t="s">
        <v>4</v>
      </c>
      <c r="F32" s="15" t="s">
        <v>4</v>
      </c>
      <c r="G32" s="15" t="s">
        <v>4</v>
      </c>
      <c r="H32" s="15" t="s">
        <v>4</v>
      </c>
      <c r="I32" s="15" t="s">
        <v>4</v>
      </c>
      <c r="J32" s="15" t="s">
        <v>4</v>
      </c>
      <c r="K32" s="15" t="s">
        <v>4</v>
      </c>
      <c r="L32" s="15" t="s">
        <v>4</v>
      </c>
      <c r="M32" s="15" t="s">
        <v>4</v>
      </c>
      <c r="N32" s="15" t="s">
        <v>4</v>
      </c>
      <c r="O32" s="15" t="s">
        <v>4</v>
      </c>
      <c r="P32" s="15" t="s">
        <v>4</v>
      </c>
      <c r="Q32" s="15" t="s">
        <v>4</v>
      </c>
      <c r="R32" s="15" t="s">
        <v>4</v>
      </c>
      <c r="S32" s="15" t="s">
        <v>4</v>
      </c>
      <c r="T32" s="15" t="s">
        <v>4</v>
      </c>
      <c r="U32" s="15" t="s">
        <v>4</v>
      </c>
      <c r="V32" s="15" t="s">
        <v>4</v>
      </c>
      <c r="W32" s="15" t="s">
        <v>4</v>
      </c>
      <c r="X32" s="15" t="s">
        <v>4</v>
      </c>
      <c r="Y32" s="15" t="s">
        <v>4</v>
      </c>
      <c r="Z32" s="15" t="s">
        <v>4</v>
      </c>
      <c r="AA32" s="15" t="s">
        <v>4</v>
      </c>
      <c r="AB32" s="15" t="s">
        <v>4</v>
      </c>
      <c r="AC32" s="15" t="s">
        <v>4</v>
      </c>
      <c r="AD32" s="15" t="s">
        <v>4</v>
      </c>
      <c r="AE32" s="15" t="s">
        <v>4</v>
      </c>
      <c r="AF32" s="15" t="s">
        <v>4</v>
      </c>
      <c r="AG32" s="15" t="s">
        <v>4</v>
      </c>
      <c r="AH32" s="15" t="s">
        <v>4</v>
      </c>
      <c r="AI32" s="15" t="s">
        <v>4</v>
      </c>
      <c r="AJ32" s="15" t="s">
        <v>4</v>
      </c>
      <c r="AK32" s="15" t="s">
        <v>4</v>
      </c>
      <c r="AL32" s="15" t="s">
        <v>4</v>
      </c>
      <c r="AM32" s="15" t="s">
        <v>4</v>
      </c>
      <c r="AN32" s="15" t="s">
        <v>4</v>
      </c>
      <c r="AO32" s="15" t="s">
        <v>4</v>
      </c>
      <c r="AP32" s="15" t="s">
        <v>4</v>
      </c>
      <c r="AQ32" s="15" t="s">
        <v>4</v>
      </c>
      <c r="AR32" s="15" t="s">
        <v>4</v>
      </c>
      <c r="AS32" s="15" t="s">
        <v>4</v>
      </c>
      <c r="AT32" s="15" t="s">
        <v>4</v>
      </c>
      <c r="AU32" s="15" t="s">
        <v>4</v>
      </c>
      <c r="AV32" s="15" t="s">
        <v>4</v>
      </c>
      <c r="AW32" s="15" t="s">
        <v>4</v>
      </c>
      <c r="AX32" s="15" t="s">
        <v>4</v>
      </c>
      <c r="AY32" s="15" t="s">
        <v>4</v>
      </c>
      <c r="AZ32" s="15" t="s">
        <v>4</v>
      </c>
      <c r="BA32" s="15" t="s">
        <v>4</v>
      </c>
      <c r="BB32" s="15" t="s">
        <v>4</v>
      </c>
      <c r="BC32" s="15" t="s">
        <v>4</v>
      </c>
      <c r="BD32" s="15" t="s">
        <v>4</v>
      </c>
      <c r="BE32" s="15" t="s">
        <v>4</v>
      </c>
      <c r="BF32" s="15" t="s">
        <v>4</v>
      </c>
      <c r="BG32" s="15" t="s">
        <v>4</v>
      </c>
      <c r="BH32" s="15" t="s">
        <v>4</v>
      </c>
      <c r="BI32" s="15" t="s">
        <v>4</v>
      </c>
      <c r="BJ32" s="15" t="s">
        <v>4</v>
      </c>
    </row>
    <row r="33" spans="1:62" ht="15" x14ac:dyDescent="0.25">
      <c r="A33" s="125"/>
      <c r="B33" s="14" t="s">
        <v>39</v>
      </c>
      <c r="C33" s="15" t="s">
        <v>4</v>
      </c>
      <c r="D33" s="15" t="s">
        <v>4</v>
      </c>
      <c r="E33" s="15" t="s">
        <v>4</v>
      </c>
      <c r="F33" s="15" t="s">
        <v>4</v>
      </c>
      <c r="G33" s="15" t="s">
        <v>4</v>
      </c>
      <c r="H33" s="15" t="s">
        <v>4</v>
      </c>
      <c r="I33" s="15" t="s">
        <v>4</v>
      </c>
      <c r="J33" s="15" t="s">
        <v>4</v>
      </c>
      <c r="K33" s="15" t="s">
        <v>4</v>
      </c>
      <c r="L33" s="15" t="s">
        <v>4</v>
      </c>
      <c r="M33" s="15" t="s">
        <v>4</v>
      </c>
      <c r="N33" s="15" t="s">
        <v>4</v>
      </c>
      <c r="O33" s="15" t="s">
        <v>4</v>
      </c>
      <c r="P33" s="15" t="s">
        <v>4</v>
      </c>
      <c r="Q33" s="15" t="s">
        <v>4</v>
      </c>
      <c r="R33" s="15" t="s">
        <v>4</v>
      </c>
      <c r="S33" s="15" t="s">
        <v>4</v>
      </c>
      <c r="T33" s="15" t="s">
        <v>4</v>
      </c>
      <c r="U33" s="15" t="s">
        <v>4</v>
      </c>
      <c r="V33" s="15" t="s">
        <v>4</v>
      </c>
      <c r="W33" s="15" t="s">
        <v>4</v>
      </c>
      <c r="X33" s="15" t="s">
        <v>4</v>
      </c>
      <c r="Y33" s="15" t="s">
        <v>4</v>
      </c>
      <c r="Z33" s="15" t="s">
        <v>4</v>
      </c>
      <c r="AA33" s="15" t="s">
        <v>4</v>
      </c>
      <c r="AB33" s="15" t="s">
        <v>4</v>
      </c>
      <c r="AC33" s="15" t="s">
        <v>4</v>
      </c>
      <c r="AD33" s="15" t="s">
        <v>4</v>
      </c>
      <c r="AE33" s="15" t="s">
        <v>4</v>
      </c>
      <c r="AF33" s="15" t="s">
        <v>4</v>
      </c>
      <c r="AG33" s="15" t="s">
        <v>4</v>
      </c>
      <c r="AH33" s="15" t="s">
        <v>4</v>
      </c>
      <c r="AI33" s="15" t="s">
        <v>4</v>
      </c>
      <c r="AJ33" s="15" t="s">
        <v>4</v>
      </c>
      <c r="AK33" s="15" t="s">
        <v>4</v>
      </c>
      <c r="AL33" s="15" t="s">
        <v>4</v>
      </c>
      <c r="AM33" s="15" t="s">
        <v>4</v>
      </c>
      <c r="AN33" s="15" t="s">
        <v>4</v>
      </c>
      <c r="AO33" s="15" t="s">
        <v>4</v>
      </c>
      <c r="AP33" s="15" t="s">
        <v>4</v>
      </c>
      <c r="AQ33" s="15" t="s">
        <v>4</v>
      </c>
      <c r="AR33" s="15" t="s">
        <v>4</v>
      </c>
      <c r="AS33" s="15" t="s">
        <v>4</v>
      </c>
      <c r="AT33" s="15" t="s">
        <v>4</v>
      </c>
      <c r="AU33" s="15" t="s">
        <v>4</v>
      </c>
      <c r="AV33" s="15" t="s">
        <v>4</v>
      </c>
      <c r="AW33" s="15" t="s">
        <v>4</v>
      </c>
      <c r="AX33" s="15" t="s">
        <v>4</v>
      </c>
      <c r="AY33" s="15" t="s">
        <v>4</v>
      </c>
      <c r="AZ33" s="15" t="s">
        <v>4</v>
      </c>
      <c r="BA33" s="15" t="s">
        <v>4</v>
      </c>
      <c r="BB33" s="15" t="s">
        <v>4</v>
      </c>
      <c r="BC33" s="15" t="s">
        <v>4</v>
      </c>
      <c r="BD33" s="15" t="s">
        <v>4</v>
      </c>
      <c r="BE33" s="15" t="s">
        <v>4</v>
      </c>
      <c r="BF33" s="15" t="s">
        <v>4</v>
      </c>
      <c r="BG33" s="15" t="s">
        <v>4</v>
      </c>
      <c r="BH33" s="15" t="s">
        <v>4</v>
      </c>
      <c r="BI33" s="15" t="s">
        <v>4</v>
      </c>
      <c r="BJ33" s="15" t="s">
        <v>4</v>
      </c>
    </row>
    <row r="34" spans="1:62" ht="43.5" x14ac:dyDescent="0.25">
      <c r="A34" s="125"/>
      <c r="B34" s="14" t="s">
        <v>41</v>
      </c>
      <c r="C34" s="15" t="s">
        <v>4</v>
      </c>
      <c r="D34" s="15" t="s">
        <v>4</v>
      </c>
      <c r="E34" s="15" t="s">
        <v>4</v>
      </c>
      <c r="F34" s="15" t="s">
        <v>4</v>
      </c>
      <c r="G34" s="15" t="s">
        <v>4</v>
      </c>
      <c r="H34" s="15" t="s">
        <v>4</v>
      </c>
      <c r="I34" s="15" t="s">
        <v>4</v>
      </c>
      <c r="J34" s="15" t="s">
        <v>4</v>
      </c>
      <c r="K34" s="15" t="s">
        <v>4</v>
      </c>
      <c r="L34" s="15" t="s">
        <v>4</v>
      </c>
      <c r="M34" s="15" t="s">
        <v>4</v>
      </c>
      <c r="N34" s="15" t="s">
        <v>4</v>
      </c>
      <c r="O34" s="15" t="s">
        <v>4</v>
      </c>
      <c r="P34" s="15" t="s">
        <v>4</v>
      </c>
      <c r="Q34" s="15" t="s">
        <v>4</v>
      </c>
      <c r="R34" s="15" t="s">
        <v>4</v>
      </c>
      <c r="S34" s="15" t="s">
        <v>4</v>
      </c>
      <c r="T34" s="15" t="s">
        <v>4</v>
      </c>
      <c r="U34" s="15" t="s">
        <v>4</v>
      </c>
      <c r="V34" s="15" t="s">
        <v>4</v>
      </c>
      <c r="W34" s="15" t="s">
        <v>4</v>
      </c>
      <c r="X34" s="15" t="s">
        <v>4</v>
      </c>
      <c r="Y34" s="15" t="s">
        <v>4</v>
      </c>
      <c r="Z34" s="15" t="s">
        <v>4</v>
      </c>
      <c r="AA34" s="15" t="s">
        <v>4</v>
      </c>
      <c r="AB34" s="15" t="s">
        <v>4</v>
      </c>
      <c r="AC34" s="15" t="s">
        <v>4</v>
      </c>
      <c r="AD34" s="15" t="s">
        <v>4</v>
      </c>
      <c r="AE34" s="15" t="s">
        <v>4</v>
      </c>
      <c r="AF34" s="15" t="s">
        <v>4</v>
      </c>
      <c r="AG34" s="15" t="s">
        <v>4</v>
      </c>
      <c r="AH34" s="15" t="s">
        <v>4</v>
      </c>
      <c r="AI34" s="15" t="s">
        <v>4</v>
      </c>
      <c r="AJ34" s="15" t="s">
        <v>4</v>
      </c>
      <c r="AK34" s="15" t="s">
        <v>4</v>
      </c>
      <c r="AL34" s="15" t="s">
        <v>4</v>
      </c>
      <c r="AM34" s="15" t="s">
        <v>4</v>
      </c>
      <c r="AN34" s="15" t="s">
        <v>4</v>
      </c>
      <c r="AO34" s="15" t="s">
        <v>4</v>
      </c>
      <c r="AP34" s="15" t="s">
        <v>4</v>
      </c>
      <c r="AQ34" s="15" t="s">
        <v>4</v>
      </c>
      <c r="AR34" s="15" t="s">
        <v>4</v>
      </c>
      <c r="AS34" s="15" t="s">
        <v>4</v>
      </c>
      <c r="AT34" s="15" t="s">
        <v>4</v>
      </c>
      <c r="AU34" s="15" t="s">
        <v>4</v>
      </c>
      <c r="AV34" s="15" t="s">
        <v>4</v>
      </c>
      <c r="AW34" s="15" t="s">
        <v>4</v>
      </c>
      <c r="AX34" s="15" t="s">
        <v>4</v>
      </c>
      <c r="AY34" s="15" t="s">
        <v>4</v>
      </c>
      <c r="AZ34" s="15" t="s">
        <v>4</v>
      </c>
      <c r="BA34" s="15" t="s">
        <v>4</v>
      </c>
      <c r="BB34" s="15" t="s">
        <v>4</v>
      </c>
      <c r="BC34" s="15" t="s">
        <v>4</v>
      </c>
      <c r="BD34" s="15" t="s">
        <v>4</v>
      </c>
      <c r="BE34" s="15" t="s">
        <v>4</v>
      </c>
      <c r="BF34" s="15" t="s">
        <v>4</v>
      </c>
      <c r="BG34" s="15" t="s">
        <v>4</v>
      </c>
      <c r="BH34" s="15" t="s">
        <v>4</v>
      </c>
      <c r="BI34" s="15" t="s">
        <v>4</v>
      </c>
      <c r="BJ34" s="15" t="s">
        <v>4</v>
      </c>
    </row>
    <row r="35" spans="1:62" ht="15.75" thickBot="1" x14ac:dyDescent="0.25">
      <c r="A35" s="126"/>
      <c r="B35" s="18" t="s">
        <v>23</v>
      </c>
      <c r="C35" s="19" t="s">
        <v>4</v>
      </c>
      <c r="D35" s="19" t="s">
        <v>4</v>
      </c>
      <c r="E35" s="19" t="s">
        <v>4</v>
      </c>
      <c r="F35" s="19" t="s">
        <v>4</v>
      </c>
      <c r="G35" s="19" t="s">
        <v>4</v>
      </c>
      <c r="H35" s="19" t="s">
        <v>4</v>
      </c>
      <c r="I35" s="19" t="s">
        <v>4</v>
      </c>
      <c r="J35" s="19" t="s">
        <v>4</v>
      </c>
      <c r="K35" s="19" t="s">
        <v>4</v>
      </c>
      <c r="L35" s="19" t="s">
        <v>4</v>
      </c>
      <c r="M35" s="19" t="s">
        <v>4</v>
      </c>
      <c r="N35" s="19" t="s">
        <v>4</v>
      </c>
      <c r="O35" s="19" t="s">
        <v>4</v>
      </c>
      <c r="P35" s="19" t="s">
        <v>4</v>
      </c>
      <c r="Q35" s="19" t="s">
        <v>4</v>
      </c>
      <c r="R35" s="19" t="s">
        <v>4</v>
      </c>
      <c r="S35" s="19" t="s">
        <v>4</v>
      </c>
      <c r="T35" s="19" t="s">
        <v>4</v>
      </c>
      <c r="U35" s="19" t="s">
        <v>4</v>
      </c>
      <c r="V35" s="19" t="s">
        <v>4</v>
      </c>
      <c r="W35" s="19" t="s">
        <v>4</v>
      </c>
      <c r="X35" s="19" t="s">
        <v>4</v>
      </c>
      <c r="Y35" s="19" t="s">
        <v>4</v>
      </c>
      <c r="Z35" s="19" t="s">
        <v>4</v>
      </c>
      <c r="AA35" s="19" t="s">
        <v>4</v>
      </c>
      <c r="AB35" s="19" t="s">
        <v>4</v>
      </c>
      <c r="AC35" s="19" t="s">
        <v>4</v>
      </c>
      <c r="AD35" s="19" t="s">
        <v>4</v>
      </c>
      <c r="AE35" s="19" t="s">
        <v>4</v>
      </c>
      <c r="AF35" s="19" t="s">
        <v>4</v>
      </c>
      <c r="AG35" s="19" t="s">
        <v>4</v>
      </c>
      <c r="AH35" s="19" t="s">
        <v>4</v>
      </c>
      <c r="AI35" s="19" t="s">
        <v>4</v>
      </c>
      <c r="AJ35" s="19" t="s">
        <v>4</v>
      </c>
      <c r="AK35" s="19" t="s">
        <v>4</v>
      </c>
      <c r="AL35" s="19" t="s">
        <v>4</v>
      </c>
      <c r="AM35" s="19" t="s">
        <v>4</v>
      </c>
      <c r="AN35" s="19" t="s">
        <v>4</v>
      </c>
      <c r="AO35" s="19" t="s">
        <v>4</v>
      </c>
      <c r="AP35" s="19" t="s">
        <v>4</v>
      </c>
      <c r="AQ35" s="19" t="s">
        <v>4</v>
      </c>
      <c r="AR35" s="19" t="s">
        <v>4</v>
      </c>
      <c r="AS35" s="19" t="s">
        <v>4</v>
      </c>
      <c r="AT35" s="19" t="s">
        <v>4</v>
      </c>
      <c r="AU35" s="19" t="s">
        <v>4</v>
      </c>
      <c r="AV35" s="19" t="s">
        <v>4</v>
      </c>
      <c r="AW35" s="19" t="s">
        <v>4</v>
      </c>
      <c r="AX35" s="19" t="s">
        <v>4</v>
      </c>
      <c r="AY35" s="19" t="s">
        <v>4</v>
      </c>
      <c r="AZ35" s="19" t="s">
        <v>4</v>
      </c>
      <c r="BA35" s="19" t="s">
        <v>4</v>
      </c>
      <c r="BB35" s="19" t="s">
        <v>4</v>
      </c>
      <c r="BC35" s="19" t="s">
        <v>4</v>
      </c>
      <c r="BD35" s="19" t="s">
        <v>4</v>
      </c>
      <c r="BE35" s="19" t="s">
        <v>4</v>
      </c>
      <c r="BF35" s="19" t="s">
        <v>4</v>
      </c>
      <c r="BG35" s="19" t="s">
        <v>4</v>
      </c>
      <c r="BH35" s="19" t="s">
        <v>4</v>
      </c>
      <c r="BI35" s="19" t="s">
        <v>4</v>
      </c>
      <c r="BJ35" s="19" t="s">
        <v>4</v>
      </c>
    </row>
    <row r="36" spans="1:62" ht="43.5" x14ac:dyDescent="0.25">
      <c r="A36" s="124" t="s">
        <v>60</v>
      </c>
      <c r="B36" s="14" t="s">
        <v>75</v>
      </c>
      <c r="C36" s="15" t="s">
        <v>4</v>
      </c>
      <c r="D36" s="15" t="s">
        <v>4</v>
      </c>
      <c r="E36" s="15" t="s">
        <v>4</v>
      </c>
      <c r="F36" s="15" t="s">
        <v>4</v>
      </c>
      <c r="G36" s="15" t="s">
        <v>4</v>
      </c>
      <c r="H36" s="15" t="s">
        <v>4</v>
      </c>
      <c r="I36" s="15" t="s">
        <v>4</v>
      </c>
      <c r="J36" s="15" t="s">
        <v>4</v>
      </c>
      <c r="K36" s="15" t="s">
        <v>4</v>
      </c>
      <c r="L36" s="15" t="s">
        <v>4</v>
      </c>
      <c r="M36" s="15" t="s">
        <v>4</v>
      </c>
      <c r="N36" s="15" t="s">
        <v>4</v>
      </c>
      <c r="O36" s="15" t="s">
        <v>4</v>
      </c>
      <c r="P36" s="15" t="s">
        <v>4</v>
      </c>
      <c r="Q36" s="15" t="s">
        <v>4</v>
      </c>
      <c r="R36" s="15" t="s">
        <v>4</v>
      </c>
      <c r="S36" s="15" t="s">
        <v>4</v>
      </c>
      <c r="T36" s="15" t="s">
        <v>4</v>
      </c>
      <c r="U36" s="15" t="s">
        <v>4</v>
      </c>
      <c r="V36" s="15" t="s">
        <v>4</v>
      </c>
      <c r="W36" s="15" t="s">
        <v>4</v>
      </c>
      <c r="X36" s="15" t="s">
        <v>4</v>
      </c>
      <c r="Y36" s="15" t="s">
        <v>4</v>
      </c>
      <c r="Z36" s="15" t="s">
        <v>4</v>
      </c>
      <c r="AA36" s="15" t="s">
        <v>4</v>
      </c>
      <c r="AB36" s="15" t="s">
        <v>4</v>
      </c>
      <c r="AC36" s="15" t="s">
        <v>4</v>
      </c>
      <c r="AD36" s="15" t="s">
        <v>4</v>
      </c>
      <c r="AE36" s="15" t="s">
        <v>4</v>
      </c>
      <c r="AF36" s="15" t="s">
        <v>4</v>
      </c>
      <c r="AG36" s="15" t="s">
        <v>4</v>
      </c>
      <c r="AH36" s="15" t="s">
        <v>4</v>
      </c>
      <c r="AI36" s="15" t="s">
        <v>4</v>
      </c>
      <c r="AJ36" s="15" t="s">
        <v>4</v>
      </c>
      <c r="AK36" s="15" t="s">
        <v>4</v>
      </c>
      <c r="AL36" s="15" t="s">
        <v>4</v>
      </c>
      <c r="AM36" s="15" t="s">
        <v>4</v>
      </c>
      <c r="AN36" s="15" t="s">
        <v>4</v>
      </c>
      <c r="AO36" s="15" t="s">
        <v>4</v>
      </c>
      <c r="AP36" s="15" t="s">
        <v>4</v>
      </c>
      <c r="AQ36" s="15" t="s">
        <v>4</v>
      </c>
      <c r="AR36" s="15" t="s">
        <v>4</v>
      </c>
      <c r="AS36" s="15" t="s">
        <v>4</v>
      </c>
      <c r="AT36" s="15" t="s">
        <v>4</v>
      </c>
      <c r="AU36" s="15" t="s">
        <v>4</v>
      </c>
      <c r="AV36" s="15" t="s">
        <v>4</v>
      </c>
      <c r="AW36" s="15" t="s">
        <v>4</v>
      </c>
      <c r="AX36" s="15" t="s">
        <v>4</v>
      </c>
      <c r="AY36" s="15" t="s">
        <v>4</v>
      </c>
      <c r="AZ36" s="15" t="s">
        <v>4</v>
      </c>
      <c r="BA36" s="15" t="s">
        <v>4</v>
      </c>
      <c r="BB36" s="15" t="s">
        <v>4</v>
      </c>
      <c r="BC36" s="15" t="s">
        <v>4</v>
      </c>
      <c r="BD36" s="15" t="s">
        <v>4</v>
      </c>
      <c r="BE36" s="15" t="s">
        <v>4</v>
      </c>
      <c r="BF36" s="15" t="s">
        <v>4</v>
      </c>
      <c r="BG36" s="15" t="s">
        <v>4</v>
      </c>
      <c r="BH36" s="15" t="s">
        <v>4</v>
      </c>
      <c r="BI36" s="15" t="s">
        <v>4</v>
      </c>
      <c r="BJ36" s="15" t="s">
        <v>4</v>
      </c>
    </row>
    <row r="37" spans="1:62" ht="43.5" x14ac:dyDescent="0.25">
      <c r="A37" s="125"/>
      <c r="B37" s="14" t="s">
        <v>74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</row>
    <row r="38" spans="1:62" ht="29.25" x14ac:dyDescent="0.25">
      <c r="A38" s="125"/>
      <c r="B38" s="14" t="s">
        <v>59</v>
      </c>
      <c r="C38" s="15" t="s">
        <v>4</v>
      </c>
      <c r="D38" s="15" t="s">
        <v>4</v>
      </c>
      <c r="E38" s="15" t="s">
        <v>4</v>
      </c>
      <c r="F38" s="15" t="s">
        <v>4</v>
      </c>
      <c r="G38" s="15" t="s">
        <v>4</v>
      </c>
      <c r="H38" s="15" t="s">
        <v>4</v>
      </c>
      <c r="I38" s="15" t="s">
        <v>4</v>
      </c>
      <c r="J38" s="15" t="s">
        <v>4</v>
      </c>
      <c r="K38" s="15" t="s">
        <v>4</v>
      </c>
      <c r="L38" s="15" t="s">
        <v>4</v>
      </c>
      <c r="M38" s="15" t="s">
        <v>4</v>
      </c>
      <c r="N38" s="15" t="s">
        <v>4</v>
      </c>
      <c r="O38" s="15" t="s">
        <v>4</v>
      </c>
      <c r="P38" s="15" t="s">
        <v>4</v>
      </c>
      <c r="Q38" s="15" t="s">
        <v>4</v>
      </c>
      <c r="R38" s="15" t="s">
        <v>4</v>
      </c>
      <c r="S38" s="15" t="s">
        <v>4</v>
      </c>
      <c r="T38" s="15" t="s">
        <v>4</v>
      </c>
      <c r="U38" s="15" t="s">
        <v>4</v>
      </c>
      <c r="V38" s="15" t="s">
        <v>4</v>
      </c>
      <c r="W38" s="15" t="s">
        <v>4</v>
      </c>
      <c r="X38" s="15" t="s">
        <v>4</v>
      </c>
      <c r="Y38" s="15" t="s">
        <v>4</v>
      </c>
      <c r="Z38" s="15" t="s">
        <v>4</v>
      </c>
      <c r="AA38" s="15" t="s">
        <v>4</v>
      </c>
      <c r="AB38" s="15" t="s">
        <v>4</v>
      </c>
      <c r="AC38" s="15" t="s">
        <v>4</v>
      </c>
      <c r="AD38" s="15" t="s">
        <v>4</v>
      </c>
      <c r="AE38" s="15" t="s">
        <v>4</v>
      </c>
      <c r="AF38" s="15" t="s">
        <v>4</v>
      </c>
      <c r="AG38" s="15" t="s">
        <v>4</v>
      </c>
      <c r="AH38" s="15" t="s">
        <v>4</v>
      </c>
      <c r="AI38" s="15" t="s">
        <v>4</v>
      </c>
      <c r="AJ38" s="15" t="s">
        <v>4</v>
      </c>
      <c r="AK38" s="15" t="s">
        <v>4</v>
      </c>
      <c r="AL38" s="15" t="s">
        <v>4</v>
      </c>
      <c r="AM38" s="15" t="s">
        <v>4</v>
      </c>
      <c r="AN38" s="15" t="s">
        <v>4</v>
      </c>
      <c r="AO38" s="15" t="s">
        <v>4</v>
      </c>
      <c r="AP38" s="15" t="s">
        <v>4</v>
      </c>
      <c r="AQ38" s="15" t="s">
        <v>4</v>
      </c>
      <c r="AR38" s="15" t="s">
        <v>4</v>
      </c>
      <c r="AS38" s="15" t="s">
        <v>4</v>
      </c>
      <c r="AT38" s="15" t="s">
        <v>4</v>
      </c>
      <c r="AU38" s="15" t="s">
        <v>4</v>
      </c>
      <c r="AV38" s="15" t="s">
        <v>4</v>
      </c>
      <c r="AW38" s="15" t="s">
        <v>4</v>
      </c>
      <c r="AX38" s="15" t="s">
        <v>4</v>
      </c>
      <c r="AY38" s="15" t="s">
        <v>4</v>
      </c>
      <c r="AZ38" s="15" t="s">
        <v>4</v>
      </c>
      <c r="BA38" s="15" t="s">
        <v>4</v>
      </c>
      <c r="BB38" s="15" t="s">
        <v>4</v>
      </c>
      <c r="BC38" s="15" t="s">
        <v>4</v>
      </c>
      <c r="BD38" s="15" t="s">
        <v>4</v>
      </c>
      <c r="BE38" s="15" t="s">
        <v>4</v>
      </c>
      <c r="BF38" s="15" t="s">
        <v>4</v>
      </c>
      <c r="BG38" s="15" t="s">
        <v>4</v>
      </c>
      <c r="BH38" s="15" t="s">
        <v>4</v>
      </c>
      <c r="BI38" s="15" t="s">
        <v>4</v>
      </c>
      <c r="BJ38" s="15" t="s">
        <v>4</v>
      </c>
    </row>
    <row r="39" spans="1:62" ht="15" x14ac:dyDescent="0.25">
      <c r="A39" s="125"/>
      <c r="B39" s="14" t="s">
        <v>45</v>
      </c>
      <c r="C39" s="15" t="s">
        <v>4</v>
      </c>
      <c r="D39" s="15" t="s">
        <v>4</v>
      </c>
      <c r="E39" s="15" t="s">
        <v>4</v>
      </c>
      <c r="F39" s="15" t="s">
        <v>4</v>
      </c>
      <c r="G39" s="15" t="s">
        <v>4</v>
      </c>
      <c r="H39" s="15" t="s">
        <v>4</v>
      </c>
      <c r="I39" s="15" t="s">
        <v>4</v>
      </c>
      <c r="J39" s="15" t="s">
        <v>4</v>
      </c>
      <c r="K39" s="15" t="s">
        <v>4</v>
      </c>
      <c r="L39" s="15" t="s">
        <v>4</v>
      </c>
      <c r="M39" s="15" t="s">
        <v>4</v>
      </c>
      <c r="N39" s="15" t="s">
        <v>4</v>
      </c>
      <c r="O39" s="15" t="s">
        <v>4</v>
      </c>
      <c r="P39" s="15" t="s">
        <v>4</v>
      </c>
      <c r="Q39" s="15" t="s">
        <v>4</v>
      </c>
      <c r="R39" s="15" t="s">
        <v>4</v>
      </c>
      <c r="S39" s="15" t="s">
        <v>4</v>
      </c>
      <c r="T39" s="15" t="s">
        <v>4</v>
      </c>
      <c r="U39" s="15" t="s">
        <v>4</v>
      </c>
      <c r="V39" s="15" t="s">
        <v>4</v>
      </c>
      <c r="W39" s="15" t="s">
        <v>4</v>
      </c>
      <c r="X39" s="15" t="s">
        <v>4</v>
      </c>
      <c r="Y39" s="15" t="s">
        <v>4</v>
      </c>
      <c r="Z39" s="15" t="s">
        <v>4</v>
      </c>
      <c r="AA39" s="15" t="s">
        <v>4</v>
      </c>
      <c r="AB39" s="15" t="s">
        <v>4</v>
      </c>
      <c r="AC39" s="15" t="s">
        <v>4</v>
      </c>
      <c r="AD39" s="15" t="s">
        <v>4</v>
      </c>
      <c r="AE39" s="15" t="s">
        <v>4</v>
      </c>
      <c r="AF39" s="15" t="s">
        <v>4</v>
      </c>
      <c r="AG39" s="15" t="s">
        <v>4</v>
      </c>
      <c r="AH39" s="15" t="s">
        <v>4</v>
      </c>
      <c r="AI39" s="15" t="s">
        <v>4</v>
      </c>
      <c r="AJ39" s="15" t="s">
        <v>4</v>
      </c>
      <c r="AK39" s="15" t="s">
        <v>4</v>
      </c>
      <c r="AL39" s="15" t="s">
        <v>4</v>
      </c>
      <c r="AM39" s="15" t="s">
        <v>4</v>
      </c>
      <c r="AN39" s="15" t="s">
        <v>4</v>
      </c>
      <c r="AO39" s="15" t="s">
        <v>4</v>
      </c>
      <c r="AP39" s="15" t="s">
        <v>4</v>
      </c>
      <c r="AQ39" s="15" t="s">
        <v>4</v>
      </c>
      <c r="AR39" s="15" t="s">
        <v>4</v>
      </c>
      <c r="AS39" s="15" t="s">
        <v>4</v>
      </c>
      <c r="AT39" s="15" t="s">
        <v>4</v>
      </c>
      <c r="AU39" s="15" t="s">
        <v>4</v>
      </c>
      <c r="AV39" s="15" t="s">
        <v>4</v>
      </c>
      <c r="AW39" s="15" t="s">
        <v>4</v>
      </c>
      <c r="AX39" s="15" t="s">
        <v>4</v>
      </c>
      <c r="AY39" s="15" t="s">
        <v>4</v>
      </c>
      <c r="AZ39" s="15" t="s">
        <v>4</v>
      </c>
      <c r="BA39" s="15" t="s">
        <v>4</v>
      </c>
      <c r="BB39" s="15" t="s">
        <v>4</v>
      </c>
      <c r="BC39" s="15" t="s">
        <v>4</v>
      </c>
      <c r="BD39" s="15" t="s">
        <v>4</v>
      </c>
      <c r="BE39" s="15" t="s">
        <v>4</v>
      </c>
      <c r="BF39" s="15" t="s">
        <v>4</v>
      </c>
      <c r="BG39" s="15" t="s">
        <v>4</v>
      </c>
      <c r="BH39" s="15" t="s">
        <v>4</v>
      </c>
      <c r="BI39" s="15" t="s">
        <v>4</v>
      </c>
      <c r="BJ39" s="15" t="s">
        <v>4</v>
      </c>
    </row>
    <row r="40" spans="1:62" ht="43.5" x14ac:dyDescent="0.25">
      <c r="A40" s="125"/>
      <c r="B40" s="14" t="s">
        <v>58</v>
      </c>
      <c r="C40" s="15" t="s">
        <v>4</v>
      </c>
      <c r="D40" s="15" t="s">
        <v>4</v>
      </c>
      <c r="E40" s="15" t="s">
        <v>4</v>
      </c>
      <c r="F40" s="15" t="s">
        <v>4</v>
      </c>
      <c r="G40" s="15" t="s">
        <v>4</v>
      </c>
      <c r="H40" s="15" t="s">
        <v>4</v>
      </c>
      <c r="I40" s="15" t="s">
        <v>4</v>
      </c>
      <c r="J40" s="15" t="s">
        <v>4</v>
      </c>
      <c r="K40" s="15" t="s">
        <v>4</v>
      </c>
      <c r="L40" s="15" t="s">
        <v>4</v>
      </c>
      <c r="M40" s="15" t="s">
        <v>4</v>
      </c>
      <c r="N40" s="15" t="s">
        <v>4</v>
      </c>
      <c r="O40" s="15" t="s">
        <v>4</v>
      </c>
      <c r="P40" s="15" t="s">
        <v>4</v>
      </c>
      <c r="Q40" s="15" t="s">
        <v>4</v>
      </c>
      <c r="R40" s="15" t="s">
        <v>4</v>
      </c>
      <c r="S40" s="15" t="s">
        <v>4</v>
      </c>
      <c r="T40" s="15" t="s">
        <v>4</v>
      </c>
      <c r="U40" s="15" t="s">
        <v>4</v>
      </c>
      <c r="V40" s="15" t="s">
        <v>4</v>
      </c>
      <c r="W40" s="15" t="s">
        <v>4</v>
      </c>
      <c r="X40" s="15" t="s">
        <v>4</v>
      </c>
      <c r="Y40" s="15" t="s">
        <v>4</v>
      </c>
      <c r="Z40" s="15" t="s">
        <v>4</v>
      </c>
      <c r="AA40" s="15" t="s">
        <v>4</v>
      </c>
      <c r="AB40" s="15" t="s">
        <v>4</v>
      </c>
      <c r="AC40" s="15" t="s">
        <v>4</v>
      </c>
      <c r="AD40" s="15" t="s">
        <v>4</v>
      </c>
      <c r="AE40" s="15" t="s">
        <v>4</v>
      </c>
      <c r="AF40" s="15" t="s">
        <v>4</v>
      </c>
      <c r="AG40" s="15" t="s">
        <v>4</v>
      </c>
      <c r="AH40" s="15" t="s">
        <v>4</v>
      </c>
      <c r="AI40" s="15" t="s">
        <v>4</v>
      </c>
      <c r="AJ40" s="15" t="s">
        <v>4</v>
      </c>
      <c r="AK40" s="15" t="s">
        <v>4</v>
      </c>
      <c r="AL40" s="15" t="s">
        <v>4</v>
      </c>
      <c r="AM40" s="15" t="s">
        <v>4</v>
      </c>
      <c r="AN40" s="15" t="s">
        <v>4</v>
      </c>
      <c r="AO40" s="15" t="s">
        <v>4</v>
      </c>
      <c r="AP40" s="15" t="s">
        <v>4</v>
      </c>
      <c r="AQ40" s="15" t="s">
        <v>4</v>
      </c>
      <c r="AR40" s="15" t="s">
        <v>4</v>
      </c>
      <c r="AS40" s="15" t="s">
        <v>4</v>
      </c>
      <c r="AT40" s="15" t="s">
        <v>4</v>
      </c>
      <c r="AU40" s="15" t="s">
        <v>4</v>
      </c>
      <c r="AV40" s="15" t="s">
        <v>4</v>
      </c>
      <c r="AW40" s="15" t="s">
        <v>4</v>
      </c>
      <c r="AX40" s="15" t="s">
        <v>4</v>
      </c>
      <c r="AY40" s="15" t="s">
        <v>4</v>
      </c>
      <c r="AZ40" s="15" t="s">
        <v>4</v>
      </c>
      <c r="BA40" s="15" t="s">
        <v>4</v>
      </c>
      <c r="BB40" s="15" t="s">
        <v>4</v>
      </c>
      <c r="BC40" s="15" t="s">
        <v>4</v>
      </c>
      <c r="BD40" s="15" t="s">
        <v>4</v>
      </c>
      <c r="BE40" s="15" t="s">
        <v>4</v>
      </c>
      <c r="BF40" s="15" t="s">
        <v>4</v>
      </c>
      <c r="BG40" s="15" t="s">
        <v>4</v>
      </c>
      <c r="BH40" s="15" t="s">
        <v>4</v>
      </c>
      <c r="BI40" s="15" t="s">
        <v>4</v>
      </c>
      <c r="BJ40" s="15" t="s">
        <v>4</v>
      </c>
    </row>
    <row r="41" spans="1:62" ht="15.75" thickBot="1" x14ac:dyDescent="0.25">
      <c r="A41" s="126"/>
      <c r="B41" s="18" t="s">
        <v>23</v>
      </c>
      <c r="C41" s="19" t="s">
        <v>4</v>
      </c>
      <c r="D41" s="19" t="s">
        <v>4</v>
      </c>
      <c r="E41" s="19" t="s">
        <v>4</v>
      </c>
      <c r="F41" s="19" t="s">
        <v>4</v>
      </c>
      <c r="G41" s="19" t="s">
        <v>4</v>
      </c>
      <c r="H41" s="19" t="s">
        <v>4</v>
      </c>
      <c r="I41" s="19" t="s">
        <v>4</v>
      </c>
      <c r="J41" s="19" t="s">
        <v>4</v>
      </c>
      <c r="K41" s="19" t="s">
        <v>4</v>
      </c>
      <c r="L41" s="19" t="s">
        <v>4</v>
      </c>
      <c r="M41" s="19" t="s">
        <v>4</v>
      </c>
      <c r="N41" s="19" t="s">
        <v>4</v>
      </c>
      <c r="O41" s="19" t="s">
        <v>4</v>
      </c>
      <c r="P41" s="19" t="s">
        <v>4</v>
      </c>
      <c r="Q41" s="19" t="s">
        <v>4</v>
      </c>
      <c r="R41" s="19" t="s">
        <v>4</v>
      </c>
      <c r="S41" s="19" t="s">
        <v>4</v>
      </c>
      <c r="T41" s="19" t="s">
        <v>4</v>
      </c>
      <c r="U41" s="19" t="s">
        <v>4</v>
      </c>
      <c r="V41" s="19" t="s">
        <v>4</v>
      </c>
      <c r="W41" s="19" t="s">
        <v>4</v>
      </c>
      <c r="X41" s="19" t="s">
        <v>4</v>
      </c>
      <c r="Y41" s="19" t="s">
        <v>4</v>
      </c>
      <c r="Z41" s="19" t="s">
        <v>4</v>
      </c>
      <c r="AA41" s="19" t="s">
        <v>4</v>
      </c>
      <c r="AB41" s="19" t="s">
        <v>4</v>
      </c>
      <c r="AC41" s="19" t="s">
        <v>4</v>
      </c>
      <c r="AD41" s="19" t="s">
        <v>4</v>
      </c>
      <c r="AE41" s="19" t="s">
        <v>4</v>
      </c>
      <c r="AF41" s="19" t="s">
        <v>4</v>
      </c>
      <c r="AG41" s="19" t="s">
        <v>4</v>
      </c>
      <c r="AH41" s="19" t="s">
        <v>4</v>
      </c>
      <c r="AI41" s="19" t="s">
        <v>4</v>
      </c>
      <c r="AJ41" s="19" t="s">
        <v>4</v>
      </c>
      <c r="AK41" s="19" t="s">
        <v>4</v>
      </c>
      <c r="AL41" s="19" t="s">
        <v>4</v>
      </c>
      <c r="AM41" s="19" t="s">
        <v>4</v>
      </c>
      <c r="AN41" s="19" t="s">
        <v>4</v>
      </c>
      <c r="AO41" s="19" t="s">
        <v>4</v>
      </c>
      <c r="AP41" s="19" t="s">
        <v>4</v>
      </c>
      <c r="AQ41" s="19" t="s">
        <v>4</v>
      </c>
      <c r="AR41" s="19" t="s">
        <v>4</v>
      </c>
      <c r="AS41" s="19" t="s">
        <v>4</v>
      </c>
      <c r="AT41" s="19" t="s">
        <v>4</v>
      </c>
      <c r="AU41" s="19" t="s">
        <v>4</v>
      </c>
      <c r="AV41" s="19" t="s">
        <v>4</v>
      </c>
      <c r="AW41" s="19" t="s">
        <v>4</v>
      </c>
      <c r="AX41" s="19" t="s">
        <v>4</v>
      </c>
      <c r="AY41" s="19" t="s">
        <v>4</v>
      </c>
      <c r="AZ41" s="19" t="s">
        <v>4</v>
      </c>
      <c r="BA41" s="19" t="s">
        <v>4</v>
      </c>
      <c r="BB41" s="19" t="s">
        <v>4</v>
      </c>
      <c r="BC41" s="19" t="s">
        <v>4</v>
      </c>
      <c r="BD41" s="19" t="s">
        <v>4</v>
      </c>
      <c r="BE41" s="19" t="s">
        <v>4</v>
      </c>
      <c r="BF41" s="19" t="s">
        <v>4</v>
      </c>
      <c r="BG41" s="19" t="s">
        <v>4</v>
      </c>
      <c r="BH41" s="19" t="s">
        <v>4</v>
      </c>
      <c r="BI41" s="19" t="s">
        <v>4</v>
      </c>
      <c r="BJ41" s="19" t="s">
        <v>4</v>
      </c>
    </row>
    <row r="42" spans="1:62" s="1" customFormat="1" ht="14.25" customHeight="1" x14ac:dyDescent="0.2">
      <c r="B42" s="4"/>
      <c r="C42" s="20"/>
      <c r="G42" s="4"/>
      <c r="H42" s="4"/>
    </row>
    <row r="43" spans="1:62" s="1" customFormat="1" ht="14.25" customHeight="1" x14ac:dyDescent="0.2">
      <c r="A43" s="85" t="s">
        <v>115</v>
      </c>
      <c r="B43" s="4"/>
      <c r="C43" s="20" t="s">
        <v>116</v>
      </c>
      <c r="G43" s="4"/>
      <c r="H43" s="4"/>
    </row>
    <row r="44" spans="1:62" x14ac:dyDescent="0.2">
      <c r="A44" s="86"/>
      <c r="B44" s="86"/>
      <c r="C44" s="86"/>
    </row>
    <row r="45" spans="1:62" x14ac:dyDescent="0.2">
      <c r="A45" s="86" t="s">
        <v>117</v>
      </c>
      <c r="B45" s="86"/>
      <c r="C45" s="86"/>
    </row>
  </sheetData>
  <mergeCells count="15">
    <mergeCell ref="A36:A41"/>
    <mergeCell ref="A25:A29"/>
    <mergeCell ref="A17:A18"/>
    <mergeCell ref="A1:BF1"/>
    <mergeCell ref="A2:BF2"/>
    <mergeCell ref="A3:B3"/>
    <mergeCell ref="C3:D3"/>
    <mergeCell ref="A11:A12"/>
    <mergeCell ref="B11:B12"/>
    <mergeCell ref="C11:E11"/>
    <mergeCell ref="B17:B18"/>
    <mergeCell ref="C17:H17"/>
    <mergeCell ref="A19:A24"/>
    <mergeCell ref="A30:A35"/>
    <mergeCell ref="A15:E15"/>
  </mergeCells>
  <pageMargins left="0.5" right="0.39370078740157483" top="0.39370078740157483" bottom="0.39370078740157483" header="0.3" footer="0.3"/>
  <pageSetup paperSize="9" scale="6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BP23"/>
  <sheetViews>
    <sheetView topLeftCell="A10" workbookViewId="0">
      <selection activeCell="B54" sqref="B54"/>
    </sheetView>
  </sheetViews>
  <sheetFormatPr defaultRowHeight="12.75" x14ac:dyDescent="0.2"/>
  <cols>
    <col min="1" max="1" width="27" customWidth="1"/>
    <col min="2" max="2" width="59.5703125" customWidth="1"/>
    <col min="3" max="5" width="19" customWidth="1"/>
    <col min="6" max="62" width="19" hidden="1" customWidth="1"/>
    <col min="63" max="63" width="16" customWidth="1"/>
    <col min="64" max="64" width="18.140625" customWidth="1"/>
    <col min="65" max="65" width="16.42578125" customWidth="1"/>
    <col min="66" max="66" width="16.140625" customWidth="1"/>
    <col min="67" max="67" width="15.85546875" customWidth="1"/>
    <col min="68" max="68" width="16.42578125" customWidth="1"/>
  </cols>
  <sheetData>
    <row r="1" spans="1:68" ht="33.75" customHeight="1" x14ac:dyDescent="0.2">
      <c r="A1" s="128" t="s">
        <v>7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</row>
    <row r="2" spans="1:68" ht="14.25" x14ac:dyDescent="0.2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</row>
    <row r="3" spans="1:68" s="2" customFormat="1" ht="15.75" customHeight="1" thickBot="1" x14ac:dyDescent="0.25">
      <c r="A3" s="129" t="s">
        <v>114</v>
      </c>
      <c r="B3" s="129"/>
      <c r="C3" s="129"/>
      <c r="D3" s="129"/>
    </row>
    <row r="4" spans="1:68" ht="16.350000000000001" customHeight="1" thickBot="1" x14ac:dyDescent="0.25">
      <c r="A4" s="8" t="s">
        <v>8</v>
      </c>
      <c r="B4" s="9" t="s">
        <v>103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68" ht="16.350000000000001" customHeight="1" thickBot="1" x14ac:dyDescent="0.25">
      <c r="A5" s="8" t="s">
        <v>0</v>
      </c>
      <c r="B5" s="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68" ht="31.7" customHeight="1" thickBot="1" x14ac:dyDescent="0.25">
      <c r="A6" s="8" t="s">
        <v>9</v>
      </c>
      <c r="B6" s="9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68" ht="16.5" thickBot="1" x14ac:dyDescent="0.25">
      <c r="A7" s="8" t="s">
        <v>10</v>
      </c>
      <c r="B7" s="9" t="s">
        <v>112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68" ht="16.5" thickBot="1" x14ac:dyDescent="0.25">
      <c r="A8" s="8" t="s">
        <v>11</v>
      </c>
      <c r="B8" s="9" t="s">
        <v>102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68" ht="16.350000000000001" customHeight="1" thickBot="1" x14ac:dyDescent="0.25">
      <c r="A9" s="8" t="s">
        <v>12</v>
      </c>
      <c r="B9" s="10" t="s">
        <v>118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68" ht="33.75" customHeight="1" thickBot="1" x14ac:dyDescent="0.3">
      <c r="A10" s="11" t="s">
        <v>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68" ht="60.95" customHeight="1" thickBot="1" x14ac:dyDescent="0.3">
      <c r="A11" s="130" t="s">
        <v>14</v>
      </c>
      <c r="B11" s="132" t="s">
        <v>15</v>
      </c>
      <c r="C11" s="134" t="s">
        <v>16</v>
      </c>
      <c r="D11" s="135"/>
      <c r="E11" s="136"/>
      <c r="F11" s="6"/>
      <c r="G11" s="6"/>
      <c r="H11" s="6"/>
      <c r="I11" s="6"/>
      <c r="J11" s="6"/>
      <c r="K11" s="6"/>
    </row>
    <row r="12" spans="1:68" ht="59.25" customHeight="1" x14ac:dyDescent="0.2">
      <c r="A12" s="131"/>
      <c r="B12" s="133"/>
      <c r="C12" s="84" t="s">
        <v>104</v>
      </c>
      <c r="D12" s="84" t="s">
        <v>105</v>
      </c>
      <c r="E12" s="84" t="s">
        <v>106</v>
      </c>
      <c r="F12" s="76" t="s">
        <v>4</v>
      </c>
      <c r="G12" s="76" t="s">
        <v>4</v>
      </c>
      <c r="H12" s="76" t="s">
        <v>4</v>
      </c>
      <c r="I12" s="76" t="s">
        <v>4</v>
      </c>
      <c r="J12" s="76" t="s">
        <v>4</v>
      </c>
      <c r="K12" s="76" t="s">
        <v>4</v>
      </c>
      <c r="L12" s="76" t="s">
        <v>4</v>
      </c>
      <c r="M12" s="76" t="s">
        <v>4</v>
      </c>
      <c r="N12" s="76" t="s">
        <v>4</v>
      </c>
      <c r="O12" s="76" t="s">
        <v>4</v>
      </c>
      <c r="P12" s="76" t="s">
        <v>4</v>
      </c>
      <c r="Q12" s="76" t="s">
        <v>4</v>
      </c>
      <c r="R12" s="76" t="s">
        <v>4</v>
      </c>
      <c r="S12" s="76" t="s">
        <v>4</v>
      </c>
      <c r="T12" s="76" t="s">
        <v>4</v>
      </c>
      <c r="U12" s="76" t="s">
        <v>4</v>
      </c>
      <c r="V12" s="76" t="s">
        <v>4</v>
      </c>
      <c r="W12" s="76" t="s">
        <v>4</v>
      </c>
      <c r="X12" s="76" t="s">
        <v>4</v>
      </c>
      <c r="Y12" s="76" t="s">
        <v>4</v>
      </c>
      <c r="Z12" s="76" t="s">
        <v>4</v>
      </c>
      <c r="AA12" s="76" t="s">
        <v>4</v>
      </c>
      <c r="AB12" s="76" t="s">
        <v>4</v>
      </c>
      <c r="AC12" s="76" t="s">
        <v>4</v>
      </c>
      <c r="AD12" s="76" t="s">
        <v>4</v>
      </c>
      <c r="AE12" s="76" t="s">
        <v>4</v>
      </c>
      <c r="AF12" s="76" t="s">
        <v>4</v>
      </c>
      <c r="AG12" s="76" t="s">
        <v>4</v>
      </c>
      <c r="AH12" s="76" t="s">
        <v>4</v>
      </c>
      <c r="AI12" s="76" t="s">
        <v>4</v>
      </c>
      <c r="AJ12" s="76" t="s">
        <v>4</v>
      </c>
      <c r="AK12" s="76" t="s">
        <v>4</v>
      </c>
      <c r="AL12" s="76" t="s">
        <v>4</v>
      </c>
      <c r="AM12" s="76" t="s">
        <v>4</v>
      </c>
      <c r="AN12" s="76" t="s">
        <v>4</v>
      </c>
      <c r="AO12" s="76" t="s">
        <v>4</v>
      </c>
      <c r="AP12" s="76" t="s">
        <v>4</v>
      </c>
      <c r="AQ12" s="76" t="s">
        <v>4</v>
      </c>
      <c r="AR12" s="76" t="s">
        <v>4</v>
      </c>
      <c r="AS12" s="76" t="s">
        <v>4</v>
      </c>
      <c r="AT12" s="76" t="s">
        <v>4</v>
      </c>
      <c r="AU12" s="76" t="s">
        <v>4</v>
      </c>
      <c r="AV12" s="76" t="s">
        <v>4</v>
      </c>
      <c r="AW12" s="76" t="s">
        <v>4</v>
      </c>
      <c r="AX12" s="76" t="s">
        <v>4</v>
      </c>
      <c r="AY12" s="76" t="s">
        <v>4</v>
      </c>
      <c r="AZ12" s="76" t="s">
        <v>4</v>
      </c>
      <c r="BA12" s="76" t="s">
        <v>4</v>
      </c>
      <c r="BB12" s="76" t="s">
        <v>4</v>
      </c>
      <c r="BC12" s="76" t="s">
        <v>4</v>
      </c>
      <c r="BD12" s="76" t="s">
        <v>4</v>
      </c>
      <c r="BE12" s="76" t="s">
        <v>4</v>
      </c>
      <c r="BF12" s="76" t="s">
        <v>4</v>
      </c>
      <c r="BG12" s="76" t="s">
        <v>4</v>
      </c>
      <c r="BH12" s="76" t="s">
        <v>4</v>
      </c>
      <c r="BI12" s="76" t="s">
        <v>4</v>
      </c>
      <c r="BJ12" s="76" t="s">
        <v>4</v>
      </c>
      <c r="BK12" s="6"/>
      <c r="BL12" s="6"/>
      <c r="BM12" s="6"/>
      <c r="BN12" s="6"/>
      <c r="BO12" s="6"/>
      <c r="BP12" s="6"/>
    </row>
    <row r="13" spans="1:68" ht="29.25" x14ac:dyDescent="0.25">
      <c r="A13" s="13" t="s">
        <v>5</v>
      </c>
      <c r="B13" s="14" t="s">
        <v>17</v>
      </c>
      <c r="C13" s="15" t="s">
        <v>4</v>
      </c>
      <c r="D13" s="15" t="s">
        <v>4</v>
      </c>
      <c r="E13" s="15" t="s">
        <v>4</v>
      </c>
      <c r="F13" s="15" t="s">
        <v>4</v>
      </c>
      <c r="G13" s="15" t="s">
        <v>4</v>
      </c>
      <c r="H13" s="15" t="s">
        <v>4</v>
      </c>
      <c r="I13" s="15" t="s">
        <v>4</v>
      </c>
      <c r="J13" s="15" t="s">
        <v>4</v>
      </c>
      <c r="K13" s="15" t="s">
        <v>4</v>
      </c>
      <c r="L13" s="15" t="s">
        <v>4</v>
      </c>
      <c r="M13" s="15" t="s">
        <v>4</v>
      </c>
      <c r="N13" s="15" t="s">
        <v>4</v>
      </c>
      <c r="O13" s="15" t="s">
        <v>4</v>
      </c>
      <c r="P13" s="15" t="s">
        <v>4</v>
      </c>
      <c r="Q13" s="15" t="s">
        <v>4</v>
      </c>
      <c r="R13" s="15" t="s">
        <v>4</v>
      </c>
      <c r="S13" s="15" t="s">
        <v>4</v>
      </c>
      <c r="T13" s="15" t="s">
        <v>4</v>
      </c>
      <c r="U13" s="15" t="s">
        <v>4</v>
      </c>
      <c r="V13" s="15" t="s">
        <v>4</v>
      </c>
      <c r="W13" s="15" t="s">
        <v>4</v>
      </c>
      <c r="X13" s="15" t="s">
        <v>4</v>
      </c>
      <c r="Y13" s="15" t="s">
        <v>4</v>
      </c>
      <c r="Z13" s="15" t="s">
        <v>4</v>
      </c>
      <c r="AA13" s="15" t="s">
        <v>4</v>
      </c>
      <c r="AB13" s="15" t="s">
        <v>4</v>
      </c>
      <c r="AC13" s="15" t="s">
        <v>4</v>
      </c>
      <c r="AD13" s="15" t="s">
        <v>4</v>
      </c>
      <c r="AE13" s="15" t="s">
        <v>4</v>
      </c>
      <c r="AF13" s="15" t="s">
        <v>4</v>
      </c>
      <c r="AG13" s="15" t="s">
        <v>4</v>
      </c>
      <c r="AH13" s="15" t="s">
        <v>4</v>
      </c>
      <c r="AI13" s="15" t="s">
        <v>4</v>
      </c>
      <c r="AJ13" s="15" t="s">
        <v>4</v>
      </c>
      <c r="AK13" s="15" t="s">
        <v>4</v>
      </c>
      <c r="AL13" s="15" t="s">
        <v>4</v>
      </c>
      <c r="AM13" s="15" t="s">
        <v>4</v>
      </c>
      <c r="AN13" s="15" t="s">
        <v>4</v>
      </c>
      <c r="AO13" s="15" t="s">
        <v>4</v>
      </c>
      <c r="AP13" s="15" t="s">
        <v>4</v>
      </c>
      <c r="AQ13" s="15" t="s">
        <v>4</v>
      </c>
      <c r="AR13" s="15" t="s">
        <v>4</v>
      </c>
      <c r="AS13" s="15" t="s">
        <v>4</v>
      </c>
      <c r="AT13" s="15" t="s">
        <v>4</v>
      </c>
      <c r="AU13" s="15" t="s">
        <v>4</v>
      </c>
      <c r="AV13" s="15" t="s">
        <v>4</v>
      </c>
      <c r="AW13" s="15" t="s">
        <v>4</v>
      </c>
      <c r="AX13" s="15" t="s">
        <v>4</v>
      </c>
      <c r="AY13" s="15" t="s">
        <v>4</v>
      </c>
      <c r="AZ13" s="15" t="s">
        <v>4</v>
      </c>
      <c r="BA13" s="15" t="s">
        <v>4</v>
      </c>
      <c r="BB13" s="15" t="s">
        <v>4</v>
      </c>
      <c r="BC13" s="15" t="s">
        <v>4</v>
      </c>
      <c r="BD13" s="15" t="s">
        <v>4</v>
      </c>
      <c r="BE13" s="15" t="s">
        <v>4</v>
      </c>
      <c r="BF13" s="15" t="s">
        <v>4</v>
      </c>
      <c r="BG13" s="15" t="s">
        <v>4</v>
      </c>
      <c r="BH13" s="15" t="s">
        <v>4</v>
      </c>
      <c r="BI13" s="15" t="s">
        <v>4</v>
      </c>
      <c r="BJ13" s="15" t="s">
        <v>4</v>
      </c>
      <c r="BK13" s="6"/>
      <c r="BL13" s="6"/>
      <c r="BM13" s="6"/>
      <c r="BN13" s="6"/>
      <c r="BO13" s="6"/>
      <c r="BP13" s="6"/>
    </row>
    <row r="14" spans="1:68" ht="29.25" x14ac:dyDescent="0.25">
      <c r="A14" s="13" t="s">
        <v>4</v>
      </c>
      <c r="B14" s="14" t="s">
        <v>18</v>
      </c>
      <c r="C14" s="15" t="s">
        <v>4</v>
      </c>
      <c r="D14" s="15" t="s">
        <v>4</v>
      </c>
      <c r="E14" s="15" t="s">
        <v>4</v>
      </c>
      <c r="F14" s="15" t="s">
        <v>4</v>
      </c>
      <c r="G14" s="15" t="s">
        <v>4</v>
      </c>
      <c r="H14" s="15" t="s">
        <v>4</v>
      </c>
      <c r="I14" s="15" t="s">
        <v>4</v>
      </c>
      <c r="J14" s="15" t="s">
        <v>4</v>
      </c>
      <c r="K14" s="15" t="s">
        <v>4</v>
      </c>
      <c r="L14" s="15" t="s">
        <v>4</v>
      </c>
      <c r="M14" s="15" t="s">
        <v>4</v>
      </c>
      <c r="N14" s="15" t="s">
        <v>4</v>
      </c>
      <c r="O14" s="15" t="s">
        <v>4</v>
      </c>
      <c r="P14" s="15" t="s">
        <v>4</v>
      </c>
      <c r="Q14" s="15" t="s">
        <v>4</v>
      </c>
      <c r="R14" s="15" t="s">
        <v>4</v>
      </c>
      <c r="S14" s="15" t="s">
        <v>4</v>
      </c>
      <c r="T14" s="15" t="s">
        <v>4</v>
      </c>
      <c r="U14" s="15" t="s">
        <v>4</v>
      </c>
      <c r="V14" s="15" t="s">
        <v>4</v>
      </c>
      <c r="W14" s="15" t="s">
        <v>4</v>
      </c>
      <c r="X14" s="15" t="s">
        <v>4</v>
      </c>
      <c r="Y14" s="15" t="s">
        <v>4</v>
      </c>
      <c r="Z14" s="15" t="s">
        <v>4</v>
      </c>
      <c r="AA14" s="15" t="s">
        <v>4</v>
      </c>
      <c r="AB14" s="15" t="s">
        <v>4</v>
      </c>
      <c r="AC14" s="15" t="s">
        <v>4</v>
      </c>
      <c r="AD14" s="15" t="s">
        <v>4</v>
      </c>
      <c r="AE14" s="15" t="s">
        <v>4</v>
      </c>
      <c r="AF14" s="15" t="s">
        <v>4</v>
      </c>
      <c r="AG14" s="15" t="s">
        <v>4</v>
      </c>
      <c r="AH14" s="15" t="s">
        <v>4</v>
      </c>
      <c r="AI14" s="15" t="s">
        <v>4</v>
      </c>
      <c r="AJ14" s="15" t="s">
        <v>4</v>
      </c>
      <c r="AK14" s="15" t="s">
        <v>4</v>
      </c>
      <c r="AL14" s="15" t="s">
        <v>4</v>
      </c>
      <c r="AM14" s="15" t="s">
        <v>4</v>
      </c>
      <c r="AN14" s="15" t="s">
        <v>4</v>
      </c>
      <c r="AO14" s="15" t="s">
        <v>4</v>
      </c>
      <c r="AP14" s="15" t="s">
        <v>4</v>
      </c>
      <c r="AQ14" s="15" t="s">
        <v>4</v>
      </c>
      <c r="AR14" s="15" t="s">
        <v>4</v>
      </c>
      <c r="AS14" s="15" t="s">
        <v>4</v>
      </c>
      <c r="AT14" s="15" t="s">
        <v>4</v>
      </c>
      <c r="AU14" s="15" t="s">
        <v>4</v>
      </c>
      <c r="AV14" s="15" t="s">
        <v>4</v>
      </c>
      <c r="AW14" s="15" t="s">
        <v>4</v>
      </c>
      <c r="AX14" s="15" t="s">
        <v>4</v>
      </c>
      <c r="AY14" s="15" t="s">
        <v>4</v>
      </c>
      <c r="AZ14" s="15" t="s">
        <v>4</v>
      </c>
      <c r="BA14" s="15" t="s">
        <v>4</v>
      </c>
      <c r="BB14" s="15" t="s">
        <v>4</v>
      </c>
      <c r="BC14" s="15" t="s">
        <v>4</v>
      </c>
      <c r="BD14" s="15" t="s">
        <v>4</v>
      </c>
      <c r="BE14" s="15" t="s">
        <v>4</v>
      </c>
      <c r="BF14" s="15" t="s">
        <v>4</v>
      </c>
      <c r="BG14" s="15" t="s">
        <v>4</v>
      </c>
      <c r="BH14" s="15" t="s">
        <v>4</v>
      </c>
      <c r="BI14" s="15" t="s">
        <v>4</v>
      </c>
      <c r="BJ14" s="15" t="s">
        <v>4</v>
      </c>
      <c r="BK14" s="6"/>
      <c r="BL14" s="6"/>
      <c r="BM14" s="6"/>
      <c r="BN14" s="6"/>
      <c r="BO14" s="6"/>
      <c r="BP14" s="6"/>
    </row>
    <row r="15" spans="1:68" ht="111.75" customHeight="1" x14ac:dyDescent="0.2">
      <c r="A15" s="127" t="s">
        <v>108</v>
      </c>
      <c r="B15" s="127"/>
      <c r="C15" s="127"/>
      <c r="D15" s="127"/>
      <c r="E15" s="127"/>
      <c r="F15" s="16"/>
      <c r="G15" s="16"/>
      <c r="H15" s="1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68" ht="16.350000000000001" customHeight="1" thickBot="1" x14ac:dyDescent="0.3">
      <c r="A16" s="11" t="s">
        <v>19</v>
      </c>
    </row>
    <row r="17" spans="1:64" s="1" customFormat="1" ht="36.75" customHeight="1" thickBot="1" x14ac:dyDescent="0.25">
      <c r="A17" s="130" t="s">
        <v>20</v>
      </c>
      <c r="B17" s="130" t="s">
        <v>21</v>
      </c>
      <c r="C17" s="138" t="s">
        <v>22</v>
      </c>
      <c r="D17" s="139"/>
      <c r="E17" s="139"/>
      <c r="F17" s="139"/>
      <c r="G17" s="139"/>
      <c r="H17" s="140"/>
      <c r="I17" s="7"/>
      <c r="J17" s="7"/>
    </row>
    <row r="18" spans="1:64" s="1" customFormat="1" ht="69" customHeight="1" x14ac:dyDescent="0.2">
      <c r="A18" s="131"/>
      <c r="B18" s="131"/>
      <c r="C18" s="84" t="s">
        <v>104</v>
      </c>
      <c r="D18" s="84" t="s">
        <v>105</v>
      </c>
      <c r="E18" s="84" t="s">
        <v>106</v>
      </c>
      <c r="F18" s="76" t="s">
        <v>4</v>
      </c>
      <c r="G18" s="76" t="s">
        <v>4</v>
      </c>
      <c r="H18" s="76" t="s">
        <v>4</v>
      </c>
      <c r="I18" s="76" t="s">
        <v>4</v>
      </c>
      <c r="J18" s="76" t="s">
        <v>4</v>
      </c>
      <c r="K18" s="76" t="s">
        <v>4</v>
      </c>
      <c r="L18" s="76" t="s">
        <v>4</v>
      </c>
      <c r="M18" s="76" t="s">
        <v>4</v>
      </c>
      <c r="N18" s="76" t="s">
        <v>4</v>
      </c>
      <c r="O18" s="76" t="s">
        <v>4</v>
      </c>
      <c r="P18" s="76" t="s">
        <v>4</v>
      </c>
      <c r="Q18" s="76" t="s">
        <v>4</v>
      </c>
      <c r="R18" s="76" t="s">
        <v>4</v>
      </c>
      <c r="S18" s="76" t="s">
        <v>4</v>
      </c>
      <c r="T18" s="76" t="s">
        <v>4</v>
      </c>
      <c r="U18" s="76" t="s">
        <v>4</v>
      </c>
      <c r="V18" s="76" t="s">
        <v>4</v>
      </c>
      <c r="W18" s="76" t="s">
        <v>4</v>
      </c>
      <c r="X18" s="76" t="s">
        <v>4</v>
      </c>
      <c r="Y18" s="76" t="s">
        <v>4</v>
      </c>
      <c r="Z18" s="76" t="s">
        <v>4</v>
      </c>
      <c r="AA18" s="76" t="s">
        <v>4</v>
      </c>
      <c r="AB18" s="76" t="s">
        <v>4</v>
      </c>
      <c r="AC18" s="76" t="s">
        <v>4</v>
      </c>
      <c r="AD18" s="76" t="s">
        <v>4</v>
      </c>
      <c r="AE18" s="76" t="s">
        <v>4</v>
      </c>
      <c r="AF18" s="76" t="s">
        <v>4</v>
      </c>
      <c r="AG18" s="76" t="s">
        <v>4</v>
      </c>
      <c r="AH18" s="76" t="s">
        <v>4</v>
      </c>
      <c r="AI18" s="76" t="s">
        <v>4</v>
      </c>
      <c r="AJ18" s="76" t="s">
        <v>4</v>
      </c>
      <c r="AK18" s="76" t="s">
        <v>4</v>
      </c>
      <c r="AL18" s="76" t="s">
        <v>4</v>
      </c>
      <c r="AM18" s="76" t="s">
        <v>4</v>
      </c>
      <c r="AN18" s="76" t="s">
        <v>4</v>
      </c>
      <c r="AO18" s="76" t="s">
        <v>4</v>
      </c>
      <c r="AP18" s="76" t="s">
        <v>4</v>
      </c>
      <c r="AQ18" s="76" t="s">
        <v>4</v>
      </c>
      <c r="AR18" s="76" t="s">
        <v>4</v>
      </c>
      <c r="AS18" s="76" t="s">
        <v>4</v>
      </c>
      <c r="AT18" s="76" t="s">
        <v>4</v>
      </c>
      <c r="AU18" s="76" t="s">
        <v>4</v>
      </c>
      <c r="AV18" s="76" t="s">
        <v>4</v>
      </c>
      <c r="AW18" s="76" t="s">
        <v>4</v>
      </c>
      <c r="AX18" s="76" t="s">
        <v>4</v>
      </c>
      <c r="AY18" s="76" t="s">
        <v>4</v>
      </c>
      <c r="AZ18" s="76" t="s">
        <v>4</v>
      </c>
      <c r="BA18" s="76" t="s">
        <v>4</v>
      </c>
      <c r="BB18" s="76" t="s">
        <v>4</v>
      </c>
      <c r="BC18" s="76" t="s">
        <v>4</v>
      </c>
      <c r="BD18" s="76" t="s">
        <v>4</v>
      </c>
      <c r="BE18" s="76" t="s">
        <v>4</v>
      </c>
      <c r="BF18" s="76" t="s">
        <v>4</v>
      </c>
      <c r="BG18" s="76" t="s">
        <v>4</v>
      </c>
      <c r="BH18" s="76" t="s">
        <v>4</v>
      </c>
      <c r="BI18" s="76" t="s">
        <v>4</v>
      </c>
      <c r="BJ18" s="76" t="s">
        <v>4</v>
      </c>
      <c r="BK18" s="17"/>
      <c r="BL18" s="17"/>
    </row>
    <row r="19" spans="1:64" ht="47.25" customHeight="1" x14ac:dyDescent="0.25">
      <c r="A19" s="88" t="s">
        <v>119</v>
      </c>
      <c r="B19" s="89" t="s">
        <v>134</v>
      </c>
      <c r="C19" s="33" t="s">
        <v>4</v>
      </c>
      <c r="D19" s="33" t="s">
        <v>4</v>
      </c>
      <c r="E19" s="33" t="s">
        <v>4</v>
      </c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</row>
    <row r="20" spans="1:64" s="1" customFormat="1" ht="14.25" customHeight="1" x14ac:dyDescent="0.2">
      <c r="B20" s="4"/>
      <c r="C20" s="20"/>
      <c r="G20" s="4"/>
      <c r="H20" s="4"/>
    </row>
    <row r="21" spans="1:64" s="1" customFormat="1" ht="14.25" customHeight="1" x14ac:dyDescent="0.2">
      <c r="A21" s="85" t="s">
        <v>115</v>
      </c>
      <c r="B21" s="4"/>
      <c r="C21" s="20" t="s">
        <v>116</v>
      </c>
      <c r="G21" s="4"/>
      <c r="H21" s="4"/>
    </row>
    <row r="22" spans="1:64" x14ac:dyDescent="0.2">
      <c r="A22" s="86"/>
      <c r="B22" s="86"/>
      <c r="C22" s="86"/>
    </row>
    <row r="23" spans="1:64" x14ac:dyDescent="0.2">
      <c r="A23" s="86" t="s">
        <v>117</v>
      </c>
      <c r="B23" s="86"/>
      <c r="C23" s="86"/>
    </row>
  </sheetData>
  <mergeCells count="11">
    <mergeCell ref="A15:E15"/>
    <mergeCell ref="A17:A18"/>
    <mergeCell ref="B17:B18"/>
    <mergeCell ref="C17:H17"/>
    <mergeCell ref="A1:BF1"/>
    <mergeCell ref="A2:BF2"/>
    <mergeCell ref="A3:B3"/>
    <mergeCell ref="C3:D3"/>
    <mergeCell ref="A11:A12"/>
    <mergeCell ref="B11:B12"/>
    <mergeCell ref="C11:E1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pageSetUpPr fitToPage="1"/>
  </sheetPr>
  <dimension ref="A1:BP40"/>
  <sheetViews>
    <sheetView topLeftCell="A16" workbookViewId="0">
      <selection activeCell="C30" sqref="C30"/>
    </sheetView>
  </sheetViews>
  <sheetFormatPr defaultRowHeight="12.75" x14ac:dyDescent="0.2"/>
  <cols>
    <col min="1" max="1" width="27" customWidth="1"/>
    <col min="2" max="2" width="59.5703125" customWidth="1"/>
    <col min="3" max="5" width="19" customWidth="1"/>
    <col min="6" max="62" width="19" hidden="1" customWidth="1"/>
    <col min="63" max="63" width="16" customWidth="1"/>
    <col min="64" max="64" width="18.140625" customWidth="1"/>
    <col min="65" max="65" width="16.42578125" customWidth="1"/>
    <col min="66" max="66" width="16.140625" customWidth="1"/>
    <col min="67" max="67" width="15.85546875" customWidth="1"/>
    <col min="68" max="68" width="16.42578125" customWidth="1"/>
  </cols>
  <sheetData>
    <row r="1" spans="1:68" ht="33.75" customHeight="1" x14ac:dyDescent="0.2">
      <c r="A1" s="128" t="s">
        <v>7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</row>
    <row r="2" spans="1:68" ht="14.25" x14ac:dyDescent="0.2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</row>
    <row r="3" spans="1:68" s="2" customFormat="1" ht="15.75" customHeight="1" thickBot="1" x14ac:dyDescent="0.25">
      <c r="A3" s="129" t="s">
        <v>114</v>
      </c>
      <c r="B3" s="129"/>
      <c r="C3" s="129"/>
      <c r="D3" s="129"/>
    </row>
    <row r="4" spans="1:68" ht="16.350000000000001" customHeight="1" thickBot="1" x14ac:dyDescent="0.25">
      <c r="A4" s="8" t="s">
        <v>8</v>
      </c>
      <c r="B4" s="9" t="s">
        <v>103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68" ht="16.350000000000001" customHeight="1" thickBot="1" x14ac:dyDescent="0.25">
      <c r="A5" s="8" t="s">
        <v>0</v>
      </c>
      <c r="B5" s="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68" ht="31.7" customHeight="1" thickBot="1" x14ac:dyDescent="0.25">
      <c r="A6" s="8" t="s">
        <v>9</v>
      </c>
      <c r="B6" s="9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68" ht="16.5" thickBot="1" x14ac:dyDescent="0.25">
      <c r="A7" s="8" t="s">
        <v>10</v>
      </c>
      <c r="B7" s="9" t="s">
        <v>112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68" ht="16.5" thickBot="1" x14ac:dyDescent="0.25">
      <c r="A8" s="8" t="s">
        <v>11</v>
      </c>
      <c r="B8" s="9" t="s">
        <v>102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68" ht="16.350000000000001" customHeight="1" thickBot="1" x14ac:dyDescent="0.25">
      <c r="A9" s="8" t="s">
        <v>12</v>
      </c>
      <c r="B9" s="10" t="s">
        <v>42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68" ht="33.75" customHeight="1" thickBot="1" x14ac:dyDescent="0.3">
      <c r="A10" s="11" t="s">
        <v>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68" ht="60.95" customHeight="1" thickBot="1" x14ac:dyDescent="0.3">
      <c r="A11" s="130" t="s">
        <v>14</v>
      </c>
      <c r="B11" s="132" t="s">
        <v>15</v>
      </c>
      <c r="C11" s="134" t="s">
        <v>16</v>
      </c>
      <c r="D11" s="135"/>
      <c r="E11" s="136"/>
      <c r="F11" s="6"/>
      <c r="G11" s="6"/>
      <c r="H11" s="6"/>
      <c r="I11" s="6"/>
      <c r="J11" s="6"/>
      <c r="K11" s="6"/>
    </row>
    <row r="12" spans="1:68" ht="59.25" customHeight="1" x14ac:dyDescent="0.2">
      <c r="A12" s="131"/>
      <c r="B12" s="133"/>
      <c r="C12" s="77" t="s">
        <v>104</v>
      </c>
      <c r="D12" s="77" t="s">
        <v>105</v>
      </c>
      <c r="E12" s="77" t="s">
        <v>106</v>
      </c>
      <c r="F12" s="12" t="s">
        <v>4</v>
      </c>
      <c r="G12" s="12" t="s">
        <v>4</v>
      </c>
      <c r="H12" s="12" t="s">
        <v>4</v>
      </c>
      <c r="I12" s="12" t="s">
        <v>4</v>
      </c>
      <c r="J12" s="12" t="s">
        <v>4</v>
      </c>
      <c r="K12" s="12" t="s">
        <v>4</v>
      </c>
      <c r="L12" s="12" t="s">
        <v>4</v>
      </c>
      <c r="M12" s="12" t="s">
        <v>4</v>
      </c>
      <c r="N12" s="12" t="s">
        <v>4</v>
      </c>
      <c r="O12" s="12" t="s">
        <v>4</v>
      </c>
      <c r="P12" s="12" t="s">
        <v>4</v>
      </c>
      <c r="Q12" s="12" t="s">
        <v>4</v>
      </c>
      <c r="R12" s="12" t="s">
        <v>4</v>
      </c>
      <c r="S12" s="12" t="s">
        <v>4</v>
      </c>
      <c r="T12" s="12" t="s">
        <v>4</v>
      </c>
      <c r="U12" s="12" t="s">
        <v>4</v>
      </c>
      <c r="V12" s="12" t="s">
        <v>4</v>
      </c>
      <c r="W12" s="12" t="s">
        <v>4</v>
      </c>
      <c r="X12" s="12" t="s">
        <v>4</v>
      </c>
      <c r="Y12" s="12" t="s">
        <v>4</v>
      </c>
      <c r="Z12" s="12" t="s">
        <v>4</v>
      </c>
      <c r="AA12" s="12" t="s">
        <v>4</v>
      </c>
      <c r="AB12" s="12" t="s">
        <v>4</v>
      </c>
      <c r="AC12" s="12" t="s">
        <v>4</v>
      </c>
      <c r="AD12" s="12" t="s">
        <v>4</v>
      </c>
      <c r="AE12" s="12" t="s">
        <v>4</v>
      </c>
      <c r="AF12" s="12" t="s">
        <v>4</v>
      </c>
      <c r="AG12" s="12" t="s">
        <v>4</v>
      </c>
      <c r="AH12" s="12" t="s">
        <v>4</v>
      </c>
      <c r="AI12" s="12" t="s">
        <v>4</v>
      </c>
      <c r="AJ12" s="12" t="s">
        <v>4</v>
      </c>
      <c r="AK12" s="12" t="s">
        <v>4</v>
      </c>
      <c r="AL12" s="12" t="s">
        <v>4</v>
      </c>
      <c r="AM12" s="12" t="s">
        <v>4</v>
      </c>
      <c r="AN12" s="12" t="s">
        <v>4</v>
      </c>
      <c r="AO12" s="12" t="s">
        <v>4</v>
      </c>
      <c r="AP12" s="12" t="s">
        <v>4</v>
      </c>
      <c r="AQ12" s="12" t="s">
        <v>4</v>
      </c>
      <c r="AR12" s="12" t="s">
        <v>4</v>
      </c>
      <c r="AS12" s="12" t="s">
        <v>4</v>
      </c>
      <c r="AT12" s="12" t="s">
        <v>4</v>
      </c>
      <c r="AU12" s="12" t="s">
        <v>4</v>
      </c>
      <c r="AV12" s="12" t="s">
        <v>4</v>
      </c>
      <c r="AW12" s="12" t="s">
        <v>4</v>
      </c>
      <c r="AX12" s="12" t="s">
        <v>4</v>
      </c>
      <c r="AY12" s="12" t="s">
        <v>4</v>
      </c>
      <c r="AZ12" s="12" t="s">
        <v>4</v>
      </c>
      <c r="BA12" s="12" t="s">
        <v>4</v>
      </c>
      <c r="BB12" s="12" t="s">
        <v>4</v>
      </c>
      <c r="BC12" s="12" t="s">
        <v>4</v>
      </c>
      <c r="BD12" s="12" t="s">
        <v>4</v>
      </c>
      <c r="BE12" s="12" t="s">
        <v>4</v>
      </c>
      <c r="BF12" s="12" t="s">
        <v>4</v>
      </c>
      <c r="BG12" s="12" t="s">
        <v>4</v>
      </c>
      <c r="BH12" s="12" t="s">
        <v>4</v>
      </c>
      <c r="BI12" s="12" t="s">
        <v>4</v>
      </c>
      <c r="BJ12" s="12" t="s">
        <v>4</v>
      </c>
      <c r="BK12" s="6"/>
      <c r="BL12" s="6"/>
      <c r="BM12" s="6"/>
      <c r="BN12" s="6"/>
      <c r="BO12" s="6"/>
      <c r="BP12" s="6"/>
    </row>
    <row r="13" spans="1:68" ht="29.25" x14ac:dyDescent="0.25">
      <c r="A13" s="13" t="s">
        <v>5</v>
      </c>
      <c r="B13" s="14" t="s">
        <v>17</v>
      </c>
      <c r="C13" s="15" t="s">
        <v>4</v>
      </c>
      <c r="D13" s="15" t="s">
        <v>4</v>
      </c>
      <c r="E13" s="15" t="s">
        <v>4</v>
      </c>
      <c r="F13" s="15" t="s">
        <v>4</v>
      </c>
      <c r="G13" s="15" t="s">
        <v>4</v>
      </c>
      <c r="H13" s="15" t="s">
        <v>4</v>
      </c>
      <c r="I13" s="15" t="s">
        <v>4</v>
      </c>
      <c r="J13" s="15" t="s">
        <v>4</v>
      </c>
      <c r="K13" s="15" t="s">
        <v>4</v>
      </c>
      <c r="L13" s="15" t="s">
        <v>4</v>
      </c>
      <c r="M13" s="15" t="s">
        <v>4</v>
      </c>
      <c r="N13" s="15" t="s">
        <v>4</v>
      </c>
      <c r="O13" s="15" t="s">
        <v>4</v>
      </c>
      <c r="P13" s="15" t="s">
        <v>4</v>
      </c>
      <c r="Q13" s="15" t="s">
        <v>4</v>
      </c>
      <c r="R13" s="15" t="s">
        <v>4</v>
      </c>
      <c r="S13" s="15" t="s">
        <v>4</v>
      </c>
      <c r="T13" s="15" t="s">
        <v>4</v>
      </c>
      <c r="U13" s="15" t="s">
        <v>4</v>
      </c>
      <c r="V13" s="15" t="s">
        <v>4</v>
      </c>
      <c r="W13" s="15" t="s">
        <v>4</v>
      </c>
      <c r="X13" s="15" t="s">
        <v>4</v>
      </c>
      <c r="Y13" s="15" t="s">
        <v>4</v>
      </c>
      <c r="Z13" s="15" t="s">
        <v>4</v>
      </c>
      <c r="AA13" s="15" t="s">
        <v>4</v>
      </c>
      <c r="AB13" s="15" t="s">
        <v>4</v>
      </c>
      <c r="AC13" s="15" t="s">
        <v>4</v>
      </c>
      <c r="AD13" s="15" t="s">
        <v>4</v>
      </c>
      <c r="AE13" s="15" t="s">
        <v>4</v>
      </c>
      <c r="AF13" s="15" t="s">
        <v>4</v>
      </c>
      <c r="AG13" s="15" t="s">
        <v>4</v>
      </c>
      <c r="AH13" s="15" t="s">
        <v>4</v>
      </c>
      <c r="AI13" s="15" t="s">
        <v>4</v>
      </c>
      <c r="AJ13" s="15" t="s">
        <v>4</v>
      </c>
      <c r="AK13" s="15" t="s">
        <v>4</v>
      </c>
      <c r="AL13" s="15" t="s">
        <v>4</v>
      </c>
      <c r="AM13" s="15" t="s">
        <v>4</v>
      </c>
      <c r="AN13" s="15" t="s">
        <v>4</v>
      </c>
      <c r="AO13" s="15" t="s">
        <v>4</v>
      </c>
      <c r="AP13" s="15" t="s">
        <v>4</v>
      </c>
      <c r="AQ13" s="15" t="s">
        <v>4</v>
      </c>
      <c r="AR13" s="15" t="s">
        <v>4</v>
      </c>
      <c r="AS13" s="15" t="s">
        <v>4</v>
      </c>
      <c r="AT13" s="15" t="s">
        <v>4</v>
      </c>
      <c r="AU13" s="15" t="s">
        <v>4</v>
      </c>
      <c r="AV13" s="15" t="s">
        <v>4</v>
      </c>
      <c r="AW13" s="15" t="s">
        <v>4</v>
      </c>
      <c r="AX13" s="15" t="s">
        <v>4</v>
      </c>
      <c r="AY13" s="15" t="s">
        <v>4</v>
      </c>
      <c r="AZ13" s="15" t="s">
        <v>4</v>
      </c>
      <c r="BA13" s="15" t="s">
        <v>4</v>
      </c>
      <c r="BB13" s="15" t="s">
        <v>4</v>
      </c>
      <c r="BC13" s="15" t="s">
        <v>4</v>
      </c>
      <c r="BD13" s="15" t="s">
        <v>4</v>
      </c>
      <c r="BE13" s="15" t="s">
        <v>4</v>
      </c>
      <c r="BF13" s="15" t="s">
        <v>4</v>
      </c>
      <c r="BG13" s="15" t="s">
        <v>4</v>
      </c>
      <c r="BH13" s="15" t="s">
        <v>4</v>
      </c>
      <c r="BI13" s="15" t="s">
        <v>4</v>
      </c>
      <c r="BJ13" s="15" t="s">
        <v>4</v>
      </c>
      <c r="BK13" s="6"/>
      <c r="BL13" s="6"/>
      <c r="BM13" s="6"/>
      <c r="BN13" s="6"/>
      <c r="BO13" s="6"/>
      <c r="BP13" s="6"/>
    </row>
    <row r="14" spans="1:68" ht="29.25" x14ac:dyDescent="0.25">
      <c r="A14" s="13" t="s">
        <v>4</v>
      </c>
      <c r="B14" s="14" t="s">
        <v>18</v>
      </c>
      <c r="C14" s="15" t="s">
        <v>4</v>
      </c>
      <c r="D14" s="15" t="s">
        <v>4</v>
      </c>
      <c r="E14" s="15" t="s">
        <v>4</v>
      </c>
      <c r="F14" s="15" t="s">
        <v>4</v>
      </c>
      <c r="G14" s="15" t="s">
        <v>4</v>
      </c>
      <c r="H14" s="15" t="s">
        <v>4</v>
      </c>
      <c r="I14" s="15" t="s">
        <v>4</v>
      </c>
      <c r="J14" s="15" t="s">
        <v>4</v>
      </c>
      <c r="K14" s="15" t="s">
        <v>4</v>
      </c>
      <c r="L14" s="15" t="s">
        <v>4</v>
      </c>
      <c r="M14" s="15" t="s">
        <v>4</v>
      </c>
      <c r="N14" s="15" t="s">
        <v>4</v>
      </c>
      <c r="O14" s="15" t="s">
        <v>4</v>
      </c>
      <c r="P14" s="15" t="s">
        <v>4</v>
      </c>
      <c r="Q14" s="15" t="s">
        <v>4</v>
      </c>
      <c r="R14" s="15" t="s">
        <v>4</v>
      </c>
      <c r="S14" s="15" t="s">
        <v>4</v>
      </c>
      <c r="T14" s="15" t="s">
        <v>4</v>
      </c>
      <c r="U14" s="15" t="s">
        <v>4</v>
      </c>
      <c r="V14" s="15" t="s">
        <v>4</v>
      </c>
      <c r="W14" s="15" t="s">
        <v>4</v>
      </c>
      <c r="X14" s="15" t="s">
        <v>4</v>
      </c>
      <c r="Y14" s="15" t="s">
        <v>4</v>
      </c>
      <c r="Z14" s="15" t="s">
        <v>4</v>
      </c>
      <c r="AA14" s="15" t="s">
        <v>4</v>
      </c>
      <c r="AB14" s="15" t="s">
        <v>4</v>
      </c>
      <c r="AC14" s="15" t="s">
        <v>4</v>
      </c>
      <c r="AD14" s="15" t="s">
        <v>4</v>
      </c>
      <c r="AE14" s="15" t="s">
        <v>4</v>
      </c>
      <c r="AF14" s="15" t="s">
        <v>4</v>
      </c>
      <c r="AG14" s="15" t="s">
        <v>4</v>
      </c>
      <c r="AH14" s="15" t="s">
        <v>4</v>
      </c>
      <c r="AI14" s="15" t="s">
        <v>4</v>
      </c>
      <c r="AJ14" s="15" t="s">
        <v>4</v>
      </c>
      <c r="AK14" s="15" t="s">
        <v>4</v>
      </c>
      <c r="AL14" s="15" t="s">
        <v>4</v>
      </c>
      <c r="AM14" s="15" t="s">
        <v>4</v>
      </c>
      <c r="AN14" s="15" t="s">
        <v>4</v>
      </c>
      <c r="AO14" s="15" t="s">
        <v>4</v>
      </c>
      <c r="AP14" s="15" t="s">
        <v>4</v>
      </c>
      <c r="AQ14" s="15" t="s">
        <v>4</v>
      </c>
      <c r="AR14" s="15" t="s">
        <v>4</v>
      </c>
      <c r="AS14" s="15" t="s">
        <v>4</v>
      </c>
      <c r="AT14" s="15" t="s">
        <v>4</v>
      </c>
      <c r="AU14" s="15" t="s">
        <v>4</v>
      </c>
      <c r="AV14" s="15" t="s">
        <v>4</v>
      </c>
      <c r="AW14" s="15" t="s">
        <v>4</v>
      </c>
      <c r="AX14" s="15" t="s">
        <v>4</v>
      </c>
      <c r="AY14" s="15" t="s">
        <v>4</v>
      </c>
      <c r="AZ14" s="15" t="s">
        <v>4</v>
      </c>
      <c r="BA14" s="15" t="s">
        <v>4</v>
      </c>
      <c r="BB14" s="15" t="s">
        <v>4</v>
      </c>
      <c r="BC14" s="15" t="s">
        <v>4</v>
      </c>
      <c r="BD14" s="15" t="s">
        <v>4</v>
      </c>
      <c r="BE14" s="15" t="s">
        <v>4</v>
      </c>
      <c r="BF14" s="15" t="s">
        <v>4</v>
      </c>
      <c r="BG14" s="15" t="s">
        <v>4</v>
      </c>
      <c r="BH14" s="15" t="s">
        <v>4</v>
      </c>
      <c r="BI14" s="15" t="s">
        <v>4</v>
      </c>
      <c r="BJ14" s="15" t="s">
        <v>4</v>
      </c>
      <c r="BK14" s="6"/>
      <c r="BL14" s="6"/>
      <c r="BM14" s="6"/>
      <c r="BN14" s="6"/>
      <c r="BO14" s="6"/>
      <c r="BP14" s="6"/>
    </row>
    <row r="15" spans="1:68" ht="111.75" customHeight="1" x14ac:dyDescent="0.2">
      <c r="A15" s="127" t="s">
        <v>108</v>
      </c>
      <c r="B15" s="127"/>
      <c r="C15" s="127"/>
      <c r="D15" s="127"/>
      <c r="E15" s="127"/>
      <c r="F15" s="16"/>
      <c r="G15" s="16"/>
      <c r="H15" s="1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68" ht="16.350000000000001" customHeight="1" thickBot="1" x14ac:dyDescent="0.3">
      <c r="A16" s="11" t="s">
        <v>19</v>
      </c>
    </row>
    <row r="17" spans="1:64" s="1" customFormat="1" ht="36.75" customHeight="1" thickBot="1" x14ac:dyDescent="0.25">
      <c r="A17" s="130" t="s">
        <v>20</v>
      </c>
      <c r="B17" s="130" t="s">
        <v>21</v>
      </c>
      <c r="C17" s="138" t="s">
        <v>22</v>
      </c>
      <c r="D17" s="139"/>
      <c r="E17" s="139"/>
      <c r="F17" s="139"/>
      <c r="G17" s="139"/>
      <c r="H17" s="140"/>
      <c r="I17" s="7"/>
      <c r="J17" s="7"/>
    </row>
    <row r="18" spans="1:64" s="1" customFormat="1" ht="69" customHeight="1" thickBot="1" x14ac:dyDescent="0.25">
      <c r="A18" s="131"/>
      <c r="B18" s="131"/>
      <c r="C18" s="77" t="s">
        <v>104</v>
      </c>
      <c r="D18" s="77" t="s">
        <v>105</v>
      </c>
      <c r="E18" s="77" t="s">
        <v>106</v>
      </c>
      <c r="F18" s="12" t="s">
        <v>4</v>
      </c>
      <c r="G18" s="12" t="s">
        <v>4</v>
      </c>
      <c r="H18" s="12" t="s">
        <v>4</v>
      </c>
      <c r="I18" s="12" t="s">
        <v>4</v>
      </c>
      <c r="J18" s="12" t="s">
        <v>4</v>
      </c>
      <c r="K18" s="12" t="s">
        <v>4</v>
      </c>
      <c r="L18" s="12" t="s">
        <v>4</v>
      </c>
      <c r="M18" s="12" t="s">
        <v>4</v>
      </c>
      <c r="N18" s="12" t="s">
        <v>4</v>
      </c>
      <c r="O18" s="12" t="s">
        <v>4</v>
      </c>
      <c r="P18" s="12" t="s">
        <v>4</v>
      </c>
      <c r="Q18" s="12" t="s">
        <v>4</v>
      </c>
      <c r="R18" s="12" t="s">
        <v>4</v>
      </c>
      <c r="S18" s="12" t="s">
        <v>4</v>
      </c>
      <c r="T18" s="12" t="s">
        <v>4</v>
      </c>
      <c r="U18" s="12" t="s">
        <v>4</v>
      </c>
      <c r="V18" s="12" t="s">
        <v>4</v>
      </c>
      <c r="W18" s="12" t="s">
        <v>4</v>
      </c>
      <c r="X18" s="12" t="s">
        <v>4</v>
      </c>
      <c r="Y18" s="12" t="s">
        <v>4</v>
      </c>
      <c r="Z18" s="12" t="s">
        <v>4</v>
      </c>
      <c r="AA18" s="12" t="s">
        <v>4</v>
      </c>
      <c r="AB18" s="12" t="s">
        <v>4</v>
      </c>
      <c r="AC18" s="12" t="s">
        <v>4</v>
      </c>
      <c r="AD18" s="12" t="s">
        <v>4</v>
      </c>
      <c r="AE18" s="12" t="s">
        <v>4</v>
      </c>
      <c r="AF18" s="12" t="s">
        <v>4</v>
      </c>
      <c r="AG18" s="12" t="s">
        <v>4</v>
      </c>
      <c r="AH18" s="12" t="s">
        <v>4</v>
      </c>
      <c r="AI18" s="12" t="s">
        <v>4</v>
      </c>
      <c r="AJ18" s="12" t="s">
        <v>4</v>
      </c>
      <c r="AK18" s="12" t="s">
        <v>4</v>
      </c>
      <c r="AL18" s="12" t="s">
        <v>4</v>
      </c>
      <c r="AM18" s="12" t="s">
        <v>4</v>
      </c>
      <c r="AN18" s="12" t="s">
        <v>4</v>
      </c>
      <c r="AO18" s="12" t="s">
        <v>4</v>
      </c>
      <c r="AP18" s="12" t="s">
        <v>4</v>
      </c>
      <c r="AQ18" s="12" t="s">
        <v>4</v>
      </c>
      <c r="AR18" s="12" t="s">
        <v>4</v>
      </c>
      <c r="AS18" s="12" t="s">
        <v>4</v>
      </c>
      <c r="AT18" s="12" t="s">
        <v>4</v>
      </c>
      <c r="AU18" s="12" t="s">
        <v>4</v>
      </c>
      <c r="AV18" s="12" t="s">
        <v>4</v>
      </c>
      <c r="AW18" s="12" t="s">
        <v>4</v>
      </c>
      <c r="AX18" s="12" t="s">
        <v>4</v>
      </c>
      <c r="AY18" s="12" t="s">
        <v>4</v>
      </c>
      <c r="AZ18" s="12" t="s">
        <v>4</v>
      </c>
      <c r="BA18" s="12" t="s">
        <v>4</v>
      </c>
      <c r="BB18" s="12" t="s">
        <v>4</v>
      </c>
      <c r="BC18" s="12" t="s">
        <v>4</v>
      </c>
      <c r="BD18" s="12" t="s">
        <v>4</v>
      </c>
      <c r="BE18" s="12" t="s">
        <v>4</v>
      </c>
      <c r="BF18" s="12" t="s">
        <v>4</v>
      </c>
      <c r="BG18" s="12" t="s">
        <v>4</v>
      </c>
      <c r="BH18" s="12" t="s">
        <v>4</v>
      </c>
      <c r="BI18" s="12" t="s">
        <v>4</v>
      </c>
      <c r="BJ18" s="12" t="s">
        <v>4</v>
      </c>
      <c r="BK18" s="17"/>
      <c r="BL18" s="17"/>
    </row>
    <row r="19" spans="1:64" ht="43.5" x14ac:dyDescent="0.25">
      <c r="A19" s="124" t="s">
        <v>63</v>
      </c>
      <c r="B19" s="14" t="s">
        <v>67</v>
      </c>
      <c r="C19" s="15" t="s">
        <v>4</v>
      </c>
      <c r="D19" s="15" t="s">
        <v>4</v>
      </c>
      <c r="E19" s="15" t="s">
        <v>4</v>
      </c>
      <c r="F19" s="15" t="s">
        <v>4</v>
      </c>
      <c r="G19" s="15" t="s">
        <v>4</v>
      </c>
      <c r="H19" s="15" t="s">
        <v>4</v>
      </c>
      <c r="I19" s="15" t="s">
        <v>4</v>
      </c>
      <c r="J19" s="15" t="s">
        <v>4</v>
      </c>
      <c r="K19" s="15" t="s">
        <v>4</v>
      </c>
      <c r="L19" s="15" t="s">
        <v>4</v>
      </c>
      <c r="M19" s="15" t="s">
        <v>4</v>
      </c>
      <c r="N19" s="15" t="s">
        <v>4</v>
      </c>
      <c r="O19" s="15" t="s">
        <v>4</v>
      </c>
      <c r="P19" s="15" t="s">
        <v>4</v>
      </c>
      <c r="Q19" s="15" t="s">
        <v>4</v>
      </c>
      <c r="R19" s="15" t="s">
        <v>4</v>
      </c>
      <c r="S19" s="15" t="s">
        <v>4</v>
      </c>
      <c r="T19" s="15" t="s">
        <v>4</v>
      </c>
      <c r="U19" s="15" t="s">
        <v>4</v>
      </c>
      <c r="V19" s="15" t="s">
        <v>4</v>
      </c>
      <c r="W19" s="15" t="s">
        <v>4</v>
      </c>
      <c r="X19" s="15" t="s">
        <v>4</v>
      </c>
      <c r="Y19" s="15" t="s">
        <v>4</v>
      </c>
      <c r="Z19" s="15" t="s">
        <v>4</v>
      </c>
      <c r="AA19" s="15" t="s">
        <v>4</v>
      </c>
      <c r="AB19" s="15" t="s">
        <v>4</v>
      </c>
      <c r="AC19" s="15" t="s">
        <v>4</v>
      </c>
      <c r="AD19" s="15" t="s">
        <v>4</v>
      </c>
      <c r="AE19" s="15" t="s">
        <v>4</v>
      </c>
      <c r="AF19" s="15" t="s">
        <v>4</v>
      </c>
      <c r="AG19" s="15" t="s">
        <v>4</v>
      </c>
      <c r="AH19" s="15" t="s">
        <v>4</v>
      </c>
      <c r="AI19" s="15" t="s">
        <v>4</v>
      </c>
      <c r="AJ19" s="15" t="s">
        <v>4</v>
      </c>
      <c r="AK19" s="15" t="s">
        <v>4</v>
      </c>
      <c r="AL19" s="15" t="s">
        <v>4</v>
      </c>
      <c r="AM19" s="15" t="s">
        <v>4</v>
      </c>
      <c r="AN19" s="15" t="s">
        <v>4</v>
      </c>
      <c r="AO19" s="15" t="s">
        <v>4</v>
      </c>
      <c r="AP19" s="15" t="s">
        <v>4</v>
      </c>
      <c r="AQ19" s="15" t="s">
        <v>4</v>
      </c>
      <c r="AR19" s="15" t="s">
        <v>4</v>
      </c>
      <c r="AS19" s="15" t="s">
        <v>4</v>
      </c>
      <c r="AT19" s="15" t="s">
        <v>4</v>
      </c>
      <c r="AU19" s="15" t="s">
        <v>4</v>
      </c>
      <c r="AV19" s="15" t="s">
        <v>4</v>
      </c>
      <c r="AW19" s="15" t="s">
        <v>4</v>
      </c>
      <c r="AX19" s="15" t="s">
        <v>4</v>
      </c>
      <c r="AY19" s="15" t="s">
        <v>4</v>
      </c>
      <c r="AZ19" s="15" t="s">
        <v>4</v>
      </c>
      <c r="BA19" s="15" t="s">
        <v>4</v>
      </c>
      <c r="BB19" s="15" t="s">
        <v>4</v>
      </c>
      <c r="BC19" s="15" t="s">
        <v>4</v>
      </c>
      <c r="BD19" s="15" t="s">
        <v>4</v>
      </c>
      <c r="BE19" s="15" t="s">
        <v>4</v>
      </c>
      <c r="BF19" s="15" t="s">
        <v>4</v>
      </c>
      <c r="BG19" s="15" t="s">
        <v>4</v>
      </c>
      <c r="BH19" s="15" t="s">
        <v>4</v>
      </c>
      <c r="BI19" s="15" t="s">
        <v>4</v>
      </c>
      <c r="BJ19" s="15" t="s">
        <v>4</v>
      </c>
    </row>
    <row r="20" spans="1:64" ht="43.5" x14ac:dyDescent="0.25">
      <c r="A20" s="125"/>
      <c r="B20" s="14" t="s">
        <v>66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</row>
    <row r="21" spans="1:64" ht="43.5" x14ac:dyDescent="0.25">
      <c r="A21" s="125"/>
      <c r="B21" s="14" t="s">
        <v>65</v>
      </c>
      <c r="C21" s="15" t="s">
        <v>4</v>
      </c>
      <c r="D21" s="15" t="s">
        <v>4</v>
      </c>
      <c r="E21" s="15" t="s">
        <v>4</v>
      </c>
      <c r="F21" s="15" t="s">
        <v>4</v>
      </c>
      <c r="G21" s="15" t="s">
        <v>4</v>
      </c>
      <c r="H21" s="15" t="s">
        <v>4</v>
      </c>
      <c r="I21" s="15" t="s">
        <v>4</v>
      </c>
      <c r="J21" s="15" t="s">
        <v>4</v>
      </c>
      <c r="K21" s="15" t="s">
        <v>4</v>
      </c>
      <c r="L21" s="15" t="s">
        <v>4</v>
      </c>
      <c r="M21" s="15" t="s">
        <v>4</v>
      </c>
      <c r="N21" s="15" t="s">
        <v>4</v>
      </c>
      <c r="O21" s="15" t="s">
        <v>4</v>
      </c>
      <c r="P21" s="15" t="s">
        <v>4</v>
      </c>
      <c r="Q21" s="15" t="s">
        <v>4</v>
      </c>
      <c r="R21" s="15" t="s">
        <v>4</v>
      </c>
      <c r="S21" s="15" t="s">
        <v>4</v>
      </c>
      <c r="T21" s="15" t="s">
        <v>4</v>
      </c>
      <c r="U21" s="15" t="s">
        <v>4</v>
      </c>
      <c r="V21" s="15" t="s">
        <v>4</v>
      </c>
      <c r="W21" s="15" t="s">
        <v>4</v>
      </c>
      <c r="X21" s="15" t="s">
        <v>4</v>
      </c>
      <c r="Y21" s="15" t="s">
        <v>4</v>
      </c>
      <c r="Z21" s="15" t="s">
        <v>4</v>
      </c>
      <c r="AA21" s="15" t="s">
        <v>4</v>
      </c>
      <c r="AB21" s="15" t="s">
        <v>4</v>
      </c>
      <c r="AC21" s="15" t="s">
        <v>4</v>
      </c>
      <c r="AD21" s="15" t="s">
        <v>4</v>
      </c>
      <c r="AE21" s="15" t="s">
        <v>4</v>
      </c>
      <c r="AF21" s="15" t="s">
        <v>4</v>
      </c>
      <c r="AG21" s="15" t="s">
        <v>4</v>
      </c>
      <c r="AH21" s="15" t="s">
        <v>4</v>
      </c>
      <c r="AI21" s="15" t="s">
        <v>4</v>
      </c>
      <c r="AJ21" s="15" t="s">
        <v>4</v>
      </c>
      <c r="AK21" s="15" t="s">
        <v>4</v>
      </c>
      <c r="AL21" s="15" t="s">
        <v>4</v>
      </c>
      <c r="AM21" s="15" t="s">
        <v>4</v>
      </c>
      <c r="AN21" s="15" t="s">
        <v>4</v>
      </c>
      <c r="AO21" s="15" t="s">
        <v>4</v>
      </c>
      <c r="AP21" s="15" t="s">
        <v>4</v>
      </c>
      <c r="AQ21" s="15" t="s">
        <v>4</v>
      </c>
      <c r="AR21" s="15" t="s">
        <v>4</v>
      </c>
      <c r="AS21" s="15" t="s">
        <v>4</v>
      </c>
      <c r="AT21" s="15" t="s">
        <v>4</v>
      </c>
      <c r="AU21" s="15" t="s">
        <v>4</v>
      </c>
      <c r="AV21" s="15" t="s">
        <v>4</v>
      </c>
      <c r="AW21" s="15" t="s">
        <v>4</v>
      </c>
      <c r="AX21" s="15" t="s">
        <v>4</v>
      </c>
      <c r="AY21" s="15" t="s">
        <v>4</v>
      </c>
      <c r="AZ21" s="15" t="s">
        <v>4</v>
      </c>
      <c r="BA21" s="15" t="s">
        <v>4</v>
      </c>
      <c r="BB21" s="15" t="s">
        <v>4</v>
      </c>
      <c r="BC21" s="15" t="s">
        <v>4</v>
      </c>
      <c r="BD21" s="15" t="s">
        <v>4</v>
      </c>
      <c r="BE21" s="15" t="s">
        <v>4</v>
      </c>
      <c r="BF21" s="15" t="s">
        <v>4</v>
      </c>
      <c r="BG21" s="15" t="s">
        <v>4</v>
      </c>
      <c r="BH21" s="15" t="s">
        <v>4</v>
      </c>
      <c r="BI21" s="15" t="s">
        <v>4</v>
      </c>
      <c r="BJ21" s="15" t="s">
        <v>4</v>
      </c>
    </row>
    <row r="22" spans="1:64" ht="15" x14ac:dyDescent="0.25">
      <c r="A22" s="125"/>
      <c r="B22" s="14" t="s">
        <v>46</v>
      </c>
      <c r="C22" s="15" t="s">
        <v>4</v>
      </c>
      <c r="D22" s="15" t="s">
        <v>4</v>
      </c>
      <c r="E22" s="15" t="s">
        <v>4</v>
      </c>
      <c r="F22" s="15" t="s">
        <v>4</v>
      </c>
      <c r="G22" s="15" t="s">
        <v>4</v>
      </c>
      <c r="H22" s="15" t="s">
        <v>4</v>
      </c>
      <c r="I22" s="15" t="s">
        <v>4</v>
      </c>
      <c r="J22" s="15" t="s">
        <v>4</v>
      </c>
      <c r="K22" s="15" t="s">
        <v>4</v>
      </c>
      <c r="L22" s="15" t="s">
        <v>4</v>
      </c>
      <c r="M22" s="15" t="s">
        <v>4</v>
      </c>
      <c r="N22" s="15" t="s">
        <v>4</v>
      </c>
      <c r="O22" s="15" t="s">
        <v>4</v>
      </c>
      <c r="P22" s="15" t="s">
        <v>4</v>
      </c>
      <c r="Q22" s="15" t="s">
        <v>4</v>
      </c>
      <c r="R22" s="15" t="s">
        <v>4</v>
      </c>
      <c r="S22" s="15" t="s">
        <v>4</v>
      </c>
      <c r="T22" s="15" t="s">
        <v>4</v>
      </c>
      <c r="U22" s="15" t="s">
        <v>4</v>
      </c>
      <c r="V22" s="15" t="s">
        <v>4</v>
      </c>
      <c r="W22" s="15" t="s">
        <v>4</v>
      </c>
      <c r="X22" s="15" t="s">
        <v>4</v>
      </c>
      <c r="Y22" s="15" t="s">
        <v>4</v>
      </c>
      <c r="Z22" s="15" t="s">
        <v>4</v>
      </c>
      <c r="AA22" s="15" t="s">
        <v>4</v>
      </c>
      <c r="AB22" s="15" t="s">
        <v>4</v>
      </c>
      <c r="AC22" s="15" t="s">
        <v>4</v>
      </c>
      <c r="AD22" s="15" t="s">
        <v>4</v>
      </c>
      <c r="AE22" s="15" t="s">
        <v>4</v>
      </c>
      <c r="AF22" s="15" t="s">
        <v>4</v>
      </c>
      <c r="AG22" s="15" t="s">
        <v>4</v>
      </c>
      <c r="AH22" s="15" t="s">
        <v>4</v>
      </c>
      <c r="AI22" s="15" t="s">
        <v>4</v>
      </c>
      <c r="AJ22" s="15" t="s">
        <v>4</v>
      </c>
      <c r="AK22" s="15" t="s">
        <v>4</v>
      </c>
      <c r="AL22" s="15" t="s">
        <v>4</v>
      </c>
      <c r="AM22" s="15" t="s">
        <v>4</v>
      </c>
      <c r="AN22" s="15" t="s">
        <v>4</v>
      </c>
      <c r="AO22" s="15" t="s">
        <v>4</v>
      </c>
      <c r="AP22" s="15" t="s">
        <v>4</v>
      </c>
      <c r="AQ22" s="15" t="s">
        <v>4</v>
      </c>
      <c r="AR22" s="15" t="s">
        <v>4</v>
      </c>
      <c r="AS22" s="15" t="s">
        <v>4</v>
      </c>
      <c r="AT22" s="15" t="s">
        <v>4</v>
      </c>
      <c r="AU22" s="15" t="s">
        <v>4</v>
      </c>
      <c r="AV22" s="15" t="s">
        <v>4</v>
      </c>
      <c r="AW22" s="15" t="s">
        <v>4</v>
      </c>
      <c r="AX22" s="15" t="s">
        <v>4</v>
      </c>
      <c r="AY22" s="15" t="s">
        <v>4</v>
      </c>
      <c r="AZ22" s="15" t="s">
        <v>4</v>
      </c>
      <c r="BA22" s="15" t="s">
        <v>4</v>
      </c>
      <c r="BB22" s="15" t="s">
        <v>4</v>
      </c>
      <c r="BC22" s="15" t="s">
        <v>4</v>
      </c>
      <c r="BD22" s="15" t="s">
        <v>4</v>
      </c>
      <c r="BE22" s="15" t="s">
        <v>4</v>
      </c>
      <c r="BF22" s="15" t="s">
        <v>4</v>
      </c>
      <c r="BG22" s="15" t="s">
        <v>4</v>
      </c>
      <c r="BH22" s="15" t="s">
        <v>4</v>
      </c>
      <c r="BI22" s="15" t="s">
        <v>4</v>
      </c>
      <c r="BJ22" s="15" t="s">
        <v>4</v>
      </c>
    </row>
    <row r="23" spans="1:64" ht="43.5" x14ac:dyDescent="0.25">
      <c r="A23" s="125"/>
      <c r="B23" s="14" t="s">
        <v>68</v>
      </c>
      <c r="C23" s="15" t="s">
        <v>4</v>
      </c>
      <c r="D23" s="15" t="s">
        <v>4</v>
      </c>
      <c r="E23" s="15" t="s">
        <v>4</v>
      </c>
      <c r="F23" s="15" t="s">
        <v>4</v>
      </c>
      <c r="G23" s="15" t="s">
        <v>4</v>
      </c>
      <c r="H23" s="15" t="s">
        <v>4</v>
      </c>
      <c r="I23" s="15" t="s">
        <v>4</v>
      </c>
      <c r="J23" s="15" t="s">
        <v>4</v>
      </c>
      <c r="K23" s="15" t="s">
        <v>4</v>
      </c>
      <c r="L23" s="15" t="s">
        <v>4</v>
      </c>
      <c r="M23" s="15" t="s">
        <v>4</v>
      </c>
      <c r="N23" s="15" t="s">
        <v>4</v>
      </c>
      <c r="O23" s="15" t="s">
        <v>4</v>
      </c>
      <c r="P23" s="15" t="s">
        <v>4</v>
      </c>
      <c r="Q23" s="15" t="s">
        <v>4</v>
      </c>
      <c r="R23" s="15" t="s">
        <v>4</v>
      </c>
      <c r="S23" s="15" t="s">
        <v>4</v>
      </c>
      <c r="T23" s="15" t="s">
        <v>4</v>
      </c>
      <c r="U23" s="15" t="s">
        <v>4</v>
      </c>
      <c r="V23" s="15" t="s">
        <v>4</v>
      </c>
      <c r="W23" s="15" t="s">
        <v>4</v>
      </c>
      <c r="X23" s="15" t="s">
        <v>4</v>
      </c>
      <c r="Y23" s="15" t="s">
        <v>4</v>
      </c>
      <c r="Z23" s="15" t="s">
        <v>4</v>
      </c>
      <c r="AA23" s="15" t="s">
        <v>4</v>
      </c>
      <c r="AB23" s="15" t="s">
        <v>4</v>
      </c>
      <c r="AC23" s="15" t="s">
        <v>4</v>
      </c>
      <c r="AD23" s="15" t="s">
        <v>4</v>
      </c>
      <c r="AE23" s="15" t="s">
        <v>4</v>
      </c>
      <c r="AF23" s="15" t="s">
        <v>4</v>
      </c>
      <c r="AG23" s="15" t="s">
        <v>4</v>
      </c>
      <c r="AH23" s="15" t="s">
        <v>4</v>
      </c>
      <c r="AI23" s="15" t="s">
        <v>4</v>
      </c>
      <c r="AJ23" s="15" t="s">
        <v>4</v>
      </c>
      <c r="AK23" s="15" t="s">
        <v>4</v>
      </c>
      <c r="AL23" s="15" t="s">
        <v>4</v>
      </c>
      <c r="AM23" s="15" t="s">
        <v>4</v>
      </c>
      <c r="AN23" s="15" t="s">
        <v>4</v>
      </c>
      <c r="AO23" s="15" t="s">
        <v>4</v>
      </c>
      <c r="AP23" s="15" t="s">
        <v>4</v>
      </c>
      <c r="AQ23" s="15" t="s">
        <v>4</v>
      </c>
      <c r="AR23" s="15" t="s">
        <v>4</v>
      </c>
      <c r="AS23" s="15" t="s">
        <v>4</v>
      </c>
      <c r="AT23" s="15" t="s">
        <v>4</v>
      </c>
      <c r="AU23" s="15" t="s">
        <v>4</v>
      </c>
      <c r="AV23" s="15" t="s">
        <v>4</v>
      </c>
      <c r="AW23" s="15" t="s">
        <v>4</v>
      </c>
      <c r="AX23" s="15" t="s">
        <v>4</v>
      </c>
      <c r="AY23" s="15" t="s">
        <v>4</v>
      </c>
      <c r="AZ23" s="15" t="s">
        <v>4</v>
      </c>
      <c r="BA23" s="15" t="s">
        <v>4</v>
      </c>
      <c r="BB23" s="15" t="s">
        <v>4</v>
      </c>
      <c r="BC23" s="15" t="s">
        <v>4</v>
      </c>
      <c r="BD23" s="15" t="s">
        <v>4</v>
      </c>
      <c r="BE23" s="15" t="s">
        <v>4</v>
      </c>
      <c r="BF23" s="15" t="s">
        <v>4</v>
      </c>
      <c r="BG23" s="15" t="s">
        <v>4</v>
      </c>
      <c r="BH23" s="15" t="s">
        <v>4</v>
      </c>
      <c r="BI23" s="15" t="s">
        <v>4</v>
      </c>
      <c r="BJ23" s="15" t="s">
        <v>4</v>
      </c>
    </row>
    <row r="24" spans="1:64" ht="15.75" thickBot="1" x14ac:dyDescent="0.25">
      <c r="A24" s="126"/>
      <c r="B24" s="18" t="s">
        <v>23</v>
      </c>
      <c r="C24" s="19" t="s">
        <v>4</v>
      </c>
      <c r="D24" s="19" t="s">
        <v>4</v>
      </c>
      <c r="E24" s="19" t="s">
        <v>4</v>
      </c>
      <c r="F24" s="19" t="s">
        <v>4</v>
      </c>
      <c r="G24" s="19" t="s">
        <v>4</v>
      </c>
      <c r="H24" s="19" t="s">
        <v>4</v>
      </c>
      <c r="I24" s="19" t="s">
        <v>4</v>
      </c>
      <c r="J24" s="19" t="s">
        <v>4</v>
      </c>
      <c r="K24" s="19" t="s">
        <v>4</v>
      </c>
      <c r="L24" s="19" t="s">
        <v>4</v>
      </c>
      <c r="M24" s="19" t="s">
        <v>4</v>
      </c>
      <c r="N24" s="19" t="s">
        <v>4</v>
      </c>
      <c r="O24" s="19" t="s">
        <v>4</v>
      </c>
      <c r="P24" s="19" t="s">
        <v>4</v>
      </c>
      <c r="Q24" s="19" t="s">
        <v>4</v>
      </c>
      <c r="R24" s="19" t="s">
        <v>4</v>
      </c>
      <c r="S24" s="19" t="s">
        <v>4</v>
      </c>
      <c r="T24" s="19" t="s">
        <v>4</v>
      </c>
      <c r="U24" s="19" t="s">
        <v>4</v>
      </c>
      <c r="V24" s="19" t="s">
        <v>4</v>
      </c>
      <c r="W24" s="19" t="s">
        <v>4</v>
      </c>
      <c r="X24" s="19" t="s">
        <v>4</v>
      </c>
      <c r="Y24" s="19" t="s">
        <v>4</v>
      </c>
      <c r="Z24" s="19" t="s">
        <v>4</v>
      </c>
      <c r="AA24" s="19" t="s">
        <v>4</v>
      </c>
      <c r="AB24" s="19" t="s">
        <v>4</v>
      </c>
      <c r="AC24" s="19" t="s">
        <v>4</v>
      </c>
      <c r="AD24" s="19" t="s">
        <v>4</v>
      </c>
      <c r="AE24" s="19" t="s">
        <v>4</v>
      </c>
      <c r="AF24" s="19" t="s">
        <v>4</v>
      </c>
      <c r="AG24" s="19" t="s">
        <v>4</v>
      </c>
      <c r="AH24" s="19" t="s">
        <v>4</v>
      </c>
      <c r="AI24" s="19" t="s">
        <v>4</v>
      </c>
      <c r="AJ24" s="19" t="s">
        <v>4</v>
      </c>
      <c r="AK24" s="19" t="s">
        <v>4</v>
      </c>
      <c r="AL24" s="19" t="s">
        <v>4</v>
      </c>
      <c r="AM24" s="19" t="s">
        <v>4</v>
      </c>
      <c r="AN24" s="19" t="s">
        <v>4</v>
      </c>
      <c r="AO24" s="19" t="s">
        <v>4</v>
      </c>
      <c r="AP24" s="19" t="s">
        <v>4</v>
      </c>
      <c r="AQ24" s="19" t="s">
        <v>4</v>
      </c>
      <c r="AR24" s="19" t="s">
        <v>4</v>
      </c>
      <c r="AS24" s="19" t="s">
        <v>4</v>
      </c>
      <c r="AT24" s="19" t="s">
        <v>4</v>
      </c>
      <c r="AU24" s="19" t="s">
        <v>4</v>
      </c>
      <c r="AV24" s="19" t="s">
        <v>4</v>
      </c>
      <c r="AW24" s="19" t="s">
        <v>4</v>
      </c>
      <c r="AX24" s="19" t="s">
        <v>4</v>
      </c>
      <c r="AY24" s="19" t="s">
        <v>4</v>
      </c>
      <c r="AZ24" s="19" t="s">
        <v>4</v>
      </c>
      <c r="BA24" s="19" t="s">
        <v>4</v>
      </c>
      <c r="BB24" s="19" t="s">
        <v>4</v>
      </c>
      <c r="BC24" s="19" t="s">
        <v>4</v>
      </c>
      <c r="BD24" s="19" t="s">
        <v>4</v>
      </c>
      <c r="BE24" s="19" t="s">
        <v>4</v>
      </c>
      <c r="BF24" s="19" t="s">
        <v>4</v>
      </c>
      <c r="BG24" s="19" t="s">
        <v>4</v>
      </c>
      <c r="BH24" s="19" t="s">
        <v>4</v>
      </c>
      <c r="BI24" s="19" t="s">
        <v>4</v>
      </c>
      <c r="BJ24" s="19" t="s">
        <v>4</v>
      </c>
    </row>
    <row r="25" spans="1:64" ht="15" x14ac:dyDescent="0.25">
      <c r="A25" s="124" t="s">
        <v>62</v>
      </c>
      <c r="B25" s="14" t="s">
        <v>69</v>
      </c>
      <c r="C25" s="15" t="s">
        <v>4</v>
      </c>
      <c r="D25" s="15" t="s">
        <v>4</v>
      </c>
      <c r="E25" s="15" t="s">
        <v>4</v>
      </c>
      <c r="F25" s="15" t="s">
        <v>4</v>
      </c>
      <c r="G25" s="15" t="s">
        <v>4</v>
      </c>
      <c r="H25" s="15" t="s">
        <v>4</v>
      </c>
      <c r="I25" s="15" t="s">
        <v>4</v>
      </c>
      <c r="J25" s="15" t="s">
        <v>4</v>
      </c>
      <c r="K25" s="15" t="s">
        <v>4</v>
      </c>
      <c r="L25" s="15" t="s">
        <v>4</v>
      </c>
      <c r="M25" s="15" t="s">
        <v>4</v>
      </c>
      <c r="N25" s="15" t="s">
        <v>4</v>
      </c>
      <c r="O25" s="15" t="s">
        <v>4</v>
      </c>
      <c r="P25" s="15" t="s">
        <v>4</v>
      </c>
      <c r="Q25" s="15" t="s">
        <v>4</v>
      </c>
      <c r="R25" s="15" t="s">
        <v>4</v>
      </c>
      <c r="S25" s="15" t="s">
        <v>4</v>
      </c>
      <c r="T25" s="15" t="s">
        <v>4</v>
      </c>
      <c r="U25" s="15" t="s">
        <v>4</v>
      </c>
      <c r="V25" s="15" t="s">
        <v>4</v>
      </c>
      <c r="W25" s="15" t="s">
        <v>4</v>
      </c>
      <c r="X25" s="15" t="s">
        <v>4</v>
      </c>
      <c r="Y25" s="15" t="s">
        <v>4</v>
      </c>
      <c r="Z25" s="15" t="s">
        <v>4</v>
      </c>
      <c r="AA25" s="15" t="s">
        <v>4</v>
      </c>
      <c r="AB25" s="15" t="s">
        <v>4</v>
      </c>
      <c r="AC25" s="15" t="s">
        <v>4</v>
      </c>
      <c r="AD25" s="15" t="s">
        <v>4</v>
      </c>
      <c r="AE25" s="15" t="s">
        <v>4</v>
      </c>
      <c r="AF25" s="15" t="s">
        <v>4</v>
      </c>
      <c r="AG25" s="15" t="s">
        <v>4</v>
      </c>
      <c r="AH25" s="15" t="s">
        <v>4</v>
      </c>
      <c r="AI25" s="15" t="s">
        <v>4</v>
      </c>
      <c r="AJ25" s="15" t="s">
        <v>4</v>
      </c>
      <c r="AK25" s="15" t="s">
        <v>4</v>
      </c>
      <c r="AL25" s="15" t="s">
        <v>4</v>
      </c>
      <c r="AM25" s="15" t="s">
        <v>4</v>
      </c>
      <c r="AN25" s="15" t="s">
        <v>4</v>
      </c>
      <c r="AO25" s="15" t="s">
        <v>4</v>
      </c>
      <c r="AP25" s="15" t="s">
        <v>4</v>
      </c>
      <c r="AQ25" s="15" t="s">
        <v>4</v>
      </c>
      <c r="AR25" s="15" t="s">
        <v>4</v>
      </c>
      <c r="AS25" s="15" t="s">
        <v>4</v>
      </c>
      <c r="AT25" s="15" t="s">
        <v>4</v>
      </c>
      <c r="AU25" s="15" t="s">
        <v>4</v>
      </c>
      <c r="AV25" s="15" t="s">
        <v>4</v>
      </c>
      <c r="AW25" s="15" t="s">
        <v>4</v>
      </c>
      <c r="AX25" s="15" t="s">
        <v>4</v>
      </c>
      <c r="AY25" s="15" t="s">
        <v>4</v>
      </c>
      <c r="AZ25" s="15" t="s">
        <v>4</v>
      </c>
      <c r="BA25" s="15" t="s">
        <v>4</v>
      </c>
      <c r="BB25" s="15" t="s">
        <v>4</v>
      </c>
      <c r="BC25" s="15" t="s">
        <v>4</v>
      </c>
      <c r="BD25" s="15" t="s">
        <v>4</v>
      </c>
      <c r="BE25" s="15" t="s">
        <v>4</v>
      </c>
      <c r="BF25" s="15" t="s">
        <v>4</v>
      </c>
      <c r="BG25" s="15" t="s">
        <v>4</v>
      </c>
      <c r="BH25" s="15" t="s">
        <v>4</v>
      </c>
      <c r="BI25" s="15" t="s">
        <v>4</v>
      </c>
      <c r="BJ25" s="15" t="s">
        <v>4</v>
      </c>
    </row>
    <row r="26" spans="1:64" ht="57.75" x14ac:dyDescent="0.25">
      <c r="A26" s="125"/>
      <c r="B26" s="14" t="s">
        <v>70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</row>
    <row r="27" spans="1:64" ht="43.5" x14ac:dyDescent="0.25">
      <c r="A27" s="125"/>
      <c r="B27" s="14" t="s">
        <v>72</v>
      </c>
      <c r="C27" s="15" t="s">
        <v>4</v>
      </c>
      <c r="D27" s="15" t="s">
        <v>4</v>
      </c>
      <c r="E27" s="15" t="s">
        <v>4</v>
      </c>
      <c r="F27" s="15" t="s">
        <v>4</v>
      </c>
      <c r="G27" s="15" t="s">
        <v>4</v>
      </c>
      <c r="H27" s="15" t="s">
        <v>4</v>
      </c>
      <c r="I27" s="15" t="s">
        <v>4</v>
      </c>
      <c r="J27" s="15" t="s">
        <v>4</v>
      </c>
      <c r="K27" s="15" t="s">
        <v>4</v>
      </c>
      <c r="L27" s="15" t="s">
        <v>4</v>
      </c>
      <c r="M27" s="15" t="s">
        <v>4</v>
      </c>
      <c r="N27" s="15" t="s">
        <v>4</v>
      </c>
      <c r="O27" s="15" t="s">
        <v>4</v>
      </c>
      <c r="P27" s="15" t="s">
        <v>4</v>
      </c>
      <c r="Q27" s="15" t="s">
        <v>4</v>
      </c>
      <c r="R27" s="15" t="s">
        <v>4</v>
      </c>
      <c r="S27" s="15" t="s">
        <v>4</v>
      </c>
      <c r="T27" s="15" t="s">
        <v>4</v>
      </c>
      <c r="U27" s="15" t="s">
        <v>4</v>
      </c>
      <c r="V27" s="15" t="s">
        <v>4</v>
      </c>
      <c r="W27" s="15" t="s">
        <v>4</v>
      </c>
      <c r="X27" s="15" t="s">
        <v>4</v>
      </c>
      <c r="Y27" s="15" t="s">
        <v>4</v>
      </c>
      <c r="Z27" s="15" t="s">
        <v>4</v>
      </c>
      <c r="AA27" s="15" t="s">
        <v>4</v>
      </c>
      <c r="AB27" s="15" t="s">
        <v>4</v>
      </c>
      <c r="AC27" s="15" t="s">
        <v>4</v>
      </c>
      <c r="AD27" s="15" t="s">
        <v>4</v>
      </c>
      <c r="AE27" s="15" t="s">
        <v>4</v>
      </c>
      <c r="AF27" s="15" t="s">
        <v>4</v>
      </c>
      <c r="AG27" s="15" t="s">
        <v>4</v>
      </c>
      <c r="AH27" s="15" t="s">
        <v>4</v>
      </c>
      <c r="AI27" s="15" t="s">
        <v>4</v>
      </c>
      <c r="AJ27" s="15" t="s">
        <v>4</v>
      </c>
      <c r="AK27" s="15" t="s">
        <v>4</v>
      </c>
      <c r="AL27" s="15" t="s">
        <v>4</v>
      </c>
      <c r="AM27" s="15" t="s">
        <v>4</v>
      </c>
      <c r="AN27" s="15" t="s">
        <v>4</v>
      </c>
      <c r="AO27" s="15" t="s">
        <v>4</v>
      </c>
      <c r="AP27" s="15" t="s">
        <v>4</v>
      </c>
      <c r="AQ27" s="15" t="s">
        <v>4</v>
      </c>
      <c r="AR27" s="15" t="s">
        <v>4</v>
      </c>
      <c r="AS27" s="15" t="s">
        <v>4</v>
      </c>
      <c r="AT27" s="15" t="s">
        <v>4</v>
      </c>
      <c r="AU27" s="15" t="s">
        <v>4</v>
      </c>
      <c r="AV27" s="15" t="s">
        <v>4</v>
      </c>
      <c r="AW27" s="15" t="s">
        <v>4</v>
      </c>
      <c r="AX27" s="15" t="s">
        <v>4</v>
      </c>
      <c r="AY27" s="15" t="s">
        <v>4</v>
      </c>
      <c r="AZ27" s="15" t="s">
        <v>4</v>
      </c>
      <c r="BA27" s="15" t="s">
        <v>4</v>
      </c>
      <c r="BB27" s="15" t="s">
        <v>4</v>
      </c>
      <c r="BC27" s="15" t="s">
        <v>4</v>
      </c>
      <c r="BD27" s="15" t="s">
        <v>4</v>
      </c>
      <c r="BE27" s="15" t="s">
        <v>4</v>
      </c>
      <c r="BF27" s="15" t="s">
        <v>4</v>
      </c>
      <c r="BG27" s="15" t="s">
        <v>4</v>
      </c>
      <c r="BH27" s="15" t="s">
        <v>4</v>
      </c>
      <c r="BI27" s="15" t="s">
        <v>4</v>
      </c>
      <c r="BJ27" s="15" t="s">
        <v>4</v>
      </c>
    </row>
    <row r="28" spans="1:64" ht="15" x14ac:dyDescent="0.25">
      <c r="A28" s="125"/>
      <c r="B28" s="14" t="s">
        <v>46</v>
      </c>
      <c r="C28" s="15" t="s">
        <v>4</v>
      </c>
      <c r="D28" s="15" t="s">
        <v>4</v>
      </c>
      <c r="E28" s="15" t="s">
        <v>4</v>
      </c>
      <c r="F28" s="15" t="s">
        <v>4</v>
      </c>
      <c r="G28" s="15" t="s">
        <v>4</v>
      </c>
      <c r="H28" s="15" t="s">
        <v>4</v>
      </c>
      <c r="I28" s="15" t="s">
        <v>4</v>
      </c>
      <c r="J28" s="15" t="s">
        <v>4</v>
      </c>
      <c r="K28" s="15" t="s">
        <v>4</v>
      </c>
      <c r="L28" s="15" t="s">
        <v>4</v>
      </c>
      <c r="M28" s="15" t="s">
        <v>4</v>
      </c>
      <c r="N28" s="15" t="s">
        <v>4</v>
      </c>
      <c r="O28" s="15" t="s">
        <v>4</v>
      </c>
      <c r="P28" s="15" t="s">
        <v>4</v>
      </c>
      <c r="Q28" s="15" t="s">
        <v>4</v>
      </c>
      <c r="R28" s="15" t="s">
        <v>4</v>
      </c>
      <c r="S28" s="15" t="s">
        <v>4</v>
      </c>
      <c r="T28" s="15" t="s">
        <v>4</v>
      </c>
      <c r="U28" s="15" t="s">
        <v>4</v>
      </c>
      <c r="V28" s="15" t="s">
        <v>4</v>
      </c>
      <c r="W28" s="15" t="s">
        <v>4</v>
      </c>
      <c r="X28" s="15" t="s">
        <v>4</v>
      </c>
      <c r="Y28" s="15" t="s">
        <v>4</v>
      </c>
      <c r="Z28" s="15" t="s">
        <v>4</v>
      </c>
      <c r="AA28" s="15" t="s">
        <v>4</v>
      </c>
      <c r="AB28" s="15" t="s">
        <v>4</v>
      </c>
      <c r="AC28" s="15" t="s">
        <v>4</v>
      </c>
      <c r="AD28" s="15" t="s">
        <v>4</v>
      </c>
      <c r="AE28" s="15" t="s">
        <v>4</v>
      </c>
      <c r="AF28" s="15" t="s">
        <v>4</v>
      </c>
      <c r="AG28" s="15" t="s">
        <v>4</v>
      </c>
      <c r="AH28" s="15" t="s">
        <v>4</v>
      </c>
      <c r="AI28" s="15" t="s">
        <v>4</v>
      </c>
      <c r="AJ28" s="15" t="s">
        <v>4</v>
      </c>
      <c r="AK28" s="15" t="s">
        <v>4</v>
      </c>
      <c r="AL28" s="15" t="s">
        <v>4</v>
      </c>
      <c r="AM28" s="15" t="s">
        <v>4</v>
      </c>
      <c r="AN28" s="15" t="s">
        <v>4</v>
      </c>
      <c r="AO28" s="15" t="s">
        <v>4</v>
      </c>
      <c r="AP28" s="15" t="s">
        <v>4</v>
      </c>
      <c r="AQ28" s="15" t="s">
        <v>4</v>
      </c>
      <c r="AR28" s="15" t="s">
        <v>4</v>
      </c>
      <c r="AS28" s="15" t="s">
        <v>4</v>
      </c>
      <c r="AT28" s="15" t="s">
        <v>4</v>
      </c>
      <c r="AU28" s="15" t="s">
        <v>4</v>
      </c>
      <c r="AV28" s="15" t="s">
        <v>4</v>
      </c>
      <c r="AW28" s="15" t="s">
        <v>4</v>
      </c>
      <c r="AX28" s="15" t="s">
        <v>4</v>
      </c>
      <c r="AY28" s="15" t="s">
        <v>4</v>
      </c>
      <c r="AZ28" s="15" t="s">
        <v>4</v>
      </c>
      <c r="BA28" s="15" t="s">
        <v>4</v>
      </c>
      <c r="BB28" s="15" t="s">
        <v>4</v>
      </c>
      <c r="BC28" s="15" t="s">
        <v>4</v>
      </c>
      <c r="BD28" s="15" t="s">
        <v>4</v>
      </c>
      <c r="BE28" s="15" t="s">
        <v>4</v>
      </c>
      <c r="BF28" s="15" t="s">
        <v>4</v>
      </c>
      <c r="BG28" s="15" t="s">
        <v>4</v>
      </c>
      <c r="BH28" s="15" t="s">
        <v>4</v>
      </c>
      <c r="BI28" s="15" t="s">
        <v>4</v>
      </c>
      <c r="BJ28" s="15" t="s">
        <v>4</v>
      </c>
    </row>
    <row r="29" spans="1:64" ht="43.5" x14ac:dyDescent="0.25">
      <c r="A29" s="125"/>
      <c r="B29" s="14" t="s">
        <v>71</v>
      </c>
      <c r="C29" s="15" t="s">
        <v>4</v>
      </c>
      <c r="D29" s="15" t="s">
        <v>4</v>
      </c>
      <c r="E29" s="15" t="s">
        <v>4</v>
      </c>
      <c r="F29" s="15" t="s">
        <v>4</v>
      </c>
      <c r="G29" s="15" t="s">
        <v>4</v>
      </c>
      <c r="H29" s="15" t="s">
        <v>4</v>
      </c>
      <c r="I29" s="15" t="s">
        <v>4</v>
      </c>
      <c r="J29" s="15" t="s">
        <v>4</v>
      </c>
      <c r="K29" s="15" t="s">
        <v>4</v>
      </c>
      <c r="L29" s="15" t="s">
        <v>4</v>
      </c>
      <c r="M29" s="15" t="s">
        <v>4</v>
      </c>
      <c r="N29" s="15" t="s">
        <v>4</v>
      </c>
      <c r="O29" s="15" t="s">
        <v>4</v>
      </c>
      <c r="P29" s="15" t="s">
        <v>4</v>
      </c>
      <c r="Q29" s="15" t="s">
        <v>4</v>
      </c>
      <c r="R29" s="15" t="s">
        <v>4</v>
      </c>
      <c r="S29" s="15" t="s">
        <v>4</v>
      </c>
      <c r="T29" s="15" t="s">
        <v>4</v>
      </c>
      <c r="U29" s="15" t="s">
        <v>4</v>
      </c>
      <c r="V29" s="15" t="s">
        <v>4</v>
      </c>
      <c r="W29" s="15" t="s">
        <v>4</v>
      </c>
      <c r="X29" s="15" t="s">
        <v>4</v>
      </c>
      <c r="Y29" s="15" t="s">
        <v>4</v>
      </c>
      <c r="Z29" s="15" t="s">
        <v>4</v>
      </c>
      <c r="AA29" s="15" t="s">
        <v>4</v>
      </c>
      <c r="AB29" s="15" t="s">
        <v>4</v>
      </c>
      <c r="AC29" s="15" t="s">
        <v>4</v>
      </c>
      <c r="AD29" s="15" t="s">
        <v>4</v>
      </c>
      <c r="AE29" s="15" t="s">
        <v>4</v>
      </c>
      <c r="AF29" s="15" t="s">
        <v>4</v>
      </c>
      <c r="AG29" s="15" t="s">
        <v>4</v>
      </c>
      <c r="AH29" s="15" t="s">
        <v>4</v>
      </c>
      <c r="AI29" s="15" t="s">
        <v>4</v>
      </c>
      <c r="AJ29" s="15" t="s">
        <v>4</v>
      </c>
      <c r="AK29" s="15" t="s">
        <v>4</v>
      </c>
      <c r="AL29" s="15" t="s">
        <v>4</v>
      </c>
      <c r="AM29" s="15" t="s">
        <v>4</v>
      </c>
      <c r="AN29" s="15" t="s">
        <v>4</v>
      </c>
      <c r="AO29" s="15" t="s">
        <v>4</v>
      </c>
      <c r="AP29" s="15" t="s">
        <v>4</v>
      </c>
      <c r="AQ29" s="15" t="s">
        <v>4</v>
      </c>
      <c r="AR29" s="15" t="s">
        <v>4</v>
      </c>
      <c r="AS29" s="15" t="s">
        <v>4</v>
      </c>
      <c r="AT29" s="15" t="s">
        <v>4</v>
      </c>
      <c r="AU29" s="15" t="s">
        <v>4</v>
      </c>
      <c r="AV29" s="15" t="s">
        <v>4</v>
      </c>
      <c r="AW29" s="15" t="s">
        <v>4</v>
      </c>
      <c r="AX29" s="15" t="s">
        <v>4</v>
      </c>
      <c r="AY29" s="15" t="s">
        <v>4</v>
      </c>
      <c r="AZ29" s="15" t="s">
        <v>4</v>
      </c>
      <c r="BA29" s="15" t="s">
        <v>4</v>
      </c>
      <c r="BB29" s="15" t="s">
        <v>4</v>
      </c>
      <c r="BC29" s="15" t="s">
        <v>4</v>
      </c>
      <c r="BD29" s="15" t="s">
        <v>4</v>
      </c>
      <c r="BE29" s="15" t="s">
        <v>4</v>
      </c>
      <c r="BF29" s="15" t="s">
        <v>4</v>
      </c>
      <c r="BG29" s="15" t="s">
        <v>4</v>
      </c>
      <c r="BH29" s="15" t="s">
        <v>4</v>
      </c>
      <c r="BI29" s="15" t="s">
        <v>4</v>
      </c>
      <c r="BJ29" s="15" t="s">
        <v>4</v>
      </c>
    </row>
    <row r="30" spans="1:64" ht="15.75" thickBot="1" x14ac:dyDescent="0.25">
      <c r="A30" s="126"/>
      <c r="B30" s="18" t="s">
        <v>23</v>
      </c>
      <c r="C30" s="19" t="s">
        <v>4</v>
      </c>
      <c r="D30" s="19" t="s">
        <v>4</v>
      </c>
      <c r="E30" s="19" t="s">
        <v>4</v>
      </c>
      <c r="F30" s="19" t="s">
        <v>4</v>
      </c>
      <c r="G30" s="19" t="s">
        <v>4</v>
      </c>
      <c r="H30" s="19" t="s">
        <v>4</v>
      </c>
      <c r="I30" s="19" t="s">
        <v>4</v>
      </c>
      <c r="J30" s="19" t="s">
        <v>4</v>
      </c>
      <c r="K30" s="19" t="s">
        <v>4</v>
      </c>
      <c r="L30" s="19" t="s">
        <v>4</v>
      </c>
      <c r="M30" s="19" t="s">
        <v>4</v>
      </c>
      <c r="N30" s="19" t="s">
        <v>4</v>
      </c>
      <c r="O30" s="19" t="s">
        <v>4</v>
      </c>
      <c r="P30" s="19" t="s">
        <v>4</v>
      </c>
      <c r="Q30" s="19" t="s">
        <v>4</v>
      </c>
      <c r="R30" s="19" t="s">
        <v>4</v>
      </c>
      <c r="S30" s="19" t="s">
        <v>4</v>
      </c>
      <c r="T30" s="19" t="s">
        <v>4</v>
      </c>
      <c r="U30" s="19" t="s">
        <v>4</v>
      </c>
      <c r="V30" s="19" t="s">
        <v>4</v>
      </c>
      <c r="W30" s="19" t="s">
        <v>4</v>
      </c>
      <c r="X30" s="19" t="s">
        <v>4</v>
      </c>
      <c r="Y30" s="19" t="s">
        <v>4</v>
      </c>
      <c r="Z30" s="19" t="s">
        <v>4</v>
      </c>
      <c r="AA30" s="19" t="s">
        <v>4</v>
      </c>
      <c r="AB30" s="19" t="s">
        <v>4</v>
      </c>
      <c r="AC30" s="19" t="s">
        <v>4</v>
      </c>
      <c r="AD30" s="19" t="s">
        <v>4</v>
      </c>
      <c r="AE30" s="19" t="s">
        <v>4</v>
      </c>
      <c r="AF30" s="19" t="s">
        <v>4</v>
      </c>
      <c r="AG30" s="19" t="s">
        <v>4</v>
      </c>
      <c r="AH30" s="19" t="s">
        <v>4</v>
      </c>
      <c r="AI30" s="19" t="s">
        <v>4</v>
      </c>
      <c r="AJ30" s="19" t="s">
        <v>4</v>
      </c>
      <c r="AK30" s="19" t="s">
        <v>4</v>
      </c>
      <c r="AL30" s="19" t="s">
        <v>4</v>
      </c>
      <c r="AM30" s="19" t="s">
        <v>4</v>
      </c>
      <c r="AN30" s="19" t="s">
        <v>4</v>
      </c>
      <c r="AO30" s="19" t="s">
        <v>4</v>
      </c>
      <c r="AP30" s="19" t="s">
        <v>4</v>
      </c>
      <c r="AQ30" s="19" t="s">
        <v>4</v>
      </c>
      <c r="AR30" s="19" t="s">
        <v>4</v>
      </c>
      <c r="AS30" s="19" t="s">
        <v>4</v>
      </c>
      <c r="AT30" s="19" t="s">
        <v>4</v>
      </c>
      <c r="AU30" s="19" t="s">
        <v>4</v>
      </c>
      <c r="AV30" s="19" t="s">
        <v>4</v>
      </c>
      <c r="AW30" s="19" t="s">
        <v>4</v>
      </c>
      <c r="AX30" s="19" t="s">
        <v>4</v>
      </c>
      <c r="AY30" s="19" t="s">
        <v>4</v>
      </c>
      <c r="AZ30" s="19" t="s">
        <v>4</v>
      </c>
      <c r="BA30" s="19" t="s">
        <v>4</v>
      </c>
      <c r="BB30" s="19" t="s">
        <v>4</v>
      </c>
      <c r="BC30" s="19" t="s">
        <v>4</v>
      </c>
      <c r="BD30" s="19" t="s">
        <v>4</v>
      </c>
      <c r="BE30" s="19" t="s">
        <v>4</v>
      </c>
      <c r="BF30" s="19" t="s">
        <v>4</v>
      </c>
      <c r="BG30" s="19" t="s">
        <v>4</v>
      </c>
      <c r="BH30" s="19" t="s">
        <v>4</v>
      </c>
      <c r="BI30" s="19" t="s">
        <v>4</v>
      </c>
      <c r="BJ30" s="19" t="s">
        <v>4</v>
      </c>
    </row>
    <row r="31" spans="1:64" ht="15" x14ac:dyDescent="0.25">
      <c r="A31" s="124" t="s">
        <v>61</v>
      </c>
      <c r="B31" s="14" t="s">
        <v>69</v>
      </c>
      <c r="C31" s="15" t="s">
        <v>4</v>
      </c>
      <c r="D31" s="15" t="s">
        <v>4</v>
      </c>
      <c r="E31" s="15" t="s">
        <v>4</v>
      </c>
      <c r="F31" s="15" t="s">
        <v>4</v>
      </c>
      <c r="G31" s="15" t="s">
        <v>4</v>
      </c>
      <c r="H31" s="15" t="s">
        <v>4</v>
      </c>
      <c r="I31" s="15" t="s">
        <v>4</v>
      </c>
      <c r="J31" s="15" t="s">
        <v>4</v>
      </c>
      <c r="K31" s="15" t="s">
        <v>4</v>
      </c>
      <c r="L31" s="15" t="s">
        <v>4</v>
      </c>
      <c r="M31" s="15" t="s">
        <v>4</v>
      </c>
      <c r="N31" s="15" t="s">
        <v>4</v>
      </c>
      <c r="O31" s="15" t="s">
        <v>4</v>
      </c>
      <c r="P31" s="15" t="s">
        <v>4</v>
      </c>
      <c r="Q31" s="15" t="s">
        <v>4</v>
      </c>
      <c r="R31" s="15" t="s">
        <v>4</v>
      </c>
      <c r="S31" s="15" t="s">
        <v>4</v>
      </c>
      <c r="T31" s="15" t="s">
        <v>4</v>
      </c>
      <c r="U31" s="15" t="s">
        <v>4</v>
      </c>
      <c r="V31" s="15" t="s">
        <v>4</v>
      </c>
      <c r="W31" s="15" t="s">
        <v>4</v>
      </c>
      <c r="X31" s="15" t="s">
        <v>4</v>
      </c>
      <c r="Y31" s="15" t="s">
        <v>4</v>
      </c>
      <c r="Z31" s="15" t="s">
        <v>4</v>
      </c>
      <c r="AA31" s="15" t="s">
        <v>4</v>
      </c>
      <c r="AB31" s="15" t="s">
        <v>4</v>
      </c>
      <c r="AC31" s="15" t="s">
        <v>4</v>
      </c>
      <c r="AD31" s="15" t="s">
        <v>4</v>
      </c>
      <c r="AE31" s="15" t="s">
        <v>4</v>
      </c>
      <c r="AF31" s="15" t="s">
        <v>4</v>
      </c>
      <c r="AG31" s="15" t="s">
        <v>4</v>
      </c>
      <c r="AH31" s="15" t="s">
        <v>4</v>
      </c>
      <c r="AI31" s="15" t="s">
        <v>4</v>
      </c>
      <c r="AJ31" s="15" t="s">
        <v>4</v>
      </c>
      <c r="AK31" s="15" t="s">
        <v>4</v>
      </c>
      <c r="AL31" s="15" t="s">
        <v>4</v>
      </c>
      <c r="AM31" s="15" t="s">
        <v>4</v>
      </c>
      <c r="AN31" s="15" t="s">
        <v>4</v>
      </c>
      <c r="AO31" s="15" t="s">
        <v>4</v>
      </c>
      <c r="AP31" s="15" t="s">
        <v>4</v>
      </c>
      <c r="AQ31" s="15" t="s">
        <v>4</v>
      </c>
      <c r="AR31" s="15" t="s">
        <v>4</v>
      </c>
      <c r="AS31" s="15" t="s">
        <v>4</v>
      </c>
      <c r="AT31" s="15" t="s">
        <v>4</v>
      </c>
      <c r="AU31" s="15" t="s">
        <v>4</v>
      </c>
      <c r="AV31" s="15" t="s">
        <v>4</v>
      </c>
      <c r="AW31" s="15" t="s">
        <v>4</v>
      </c>
      <c r="AX31" s="15" t="s">
        <v>4</v>
      </c>
      <c r="AY31" s="15" t="s">
        <v>4</v>
      </c>
      <c r="AZ31" s="15" t="s">
        <v>4</v>
      </c>
      <c r="BA31" s="15" t="s">
        <v>4</v>
      </c>
      <c r="BB31" s="15" t="s">
        <v>4</v>
      </c>
      <c r="BC31" s="15" t="s">
        <v>4</v>
      </c>
      <c r="BD31" s="15" t="s">
        <v>4</v>
      </c>
      <c r="BE31" s="15" t="s">
        <v>4</v>
      </c>
      <c r="BF31" s="15" t="s">
        <v>4</v>
      </c>
      <c r="BG31" s="15" t="s">
        <v>4</v>
      </c>
      <c r="BH31" s="15" t="s">
        <v>4</v>
      </c>
      <c r="BI31" s="15" t="s">
        <v>4</v>
      </c>
      <c r="BJ31" s="15" t="s">
        <v>4</v>
      </c>
    </row>
    <row r="32" spans="1:64" ht="57.75" x14ac:dyDescent="0.25">
      <c r="A32" s="125"/>
      <c r="B32" s="14" t="s">
        <v>73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</row>
    <row r="33" spans="1:62" ht="86.25" x14ac:dyDescent="0.25">
      <c r="A33" s="125"/>
      <c r="B33" s="14" t="s">
        <v>80</v>
      </c>
      <c r="C33" s="15" t="s">
        <v>4</v>
      </c>
      <c r="D33" s="15" t="s">
        <v>4</v>
      </c>
      <c r="E33" s="15" t="s">
        <v>4</v>
      </c>
      <c r="F33" s="15" t="s">
        <v>4</v>
      </c>
      <c r="G33" s="15" t="s">
        <v>4</v>
      </c>
      <c r="H33" s="15" t="s">
        <v>4</v>
      </c>
      <c r="I33" s="15" t="s">
        <v>4</v>
      </c>
      <c r="J33" s="15" t="s">
        <v>4</v>
      </c>
      <c r="K33" s="15" t="s">
        <v>4</v>
      </c>
      <c r="L33" s="15" t="s">
        <v>4</v>
      </c>
      <c r="M33" s="15" t="s">
        <v>4</v>
      </c>
      <c r="N33" s="15" t="s">
        <v>4</v>
      </c>
      <c r="O33" s="15" t="s">
        <v>4</v>
      </c>
      <c r="P33" s="15" t="s">
        <v>4</v>
      </c>
      <c r="Q33" s="15" t="s">
        <v>4</v>
      </c>
      <c r="R33" s="15" t="s">
        <v>4</v>
      </c>
      <c r="S33" s="15" t="s">
        <v>4</v>
      </c>
      <c r="T33" s="15" t="s">
        <v>4</v>
      </c>
      <c r="U33" s="15" t="s">
        <v>4</v>
      </c>
      <c r="V33" s="15" t="s">
        <v>4</v>
      </c>
      <c r="W33" s="15" t="s">
        <v>4</v>
      </c>
      <c r="X33" s="15" t="s">
        <v>4</v>
      </c>
      <c r="Y33" s="15" t="s">
        <v>4</v>
      </c>
      <c r="Z33" s="15" t="s">
        <v>4</v>
      </c>
      <c r="AA33" s="15" t="s">
        <v>4</v>
      </c>
      <c r="AB33" s="15" t="s">
        <v>4</v>
      </c>
      <c r="AC33" s="15" t="s">
        <v>4</v>
      </c>
      <c r="AD33" s="15" t="s">
        <v>4</v>
      </c>
      <c r="AE33" s="15" t="s">
        <v>4</v>
      </c>
      <c r="AF33" s="15" t="s">
        <v>4</v>
      </c>
      <c r="AG33" s="15" t="s">
        <v>4</v>
      </c>
      <c r="AH33" s="15" t="s">
        <v>4</v>
      </c>
      <c r="AI33" s="15" t="s">
        <v>4</v>
      </c>
      <c r="AJ33" s="15" t="s">
        <v>4</v>
      </c>
      <c r="AK33" s="15" t="s">
        <v>4</v>
      </c>
      <c r="AL33" s="15" t="s">
        <v>4</v>
      </c>
      <c r="AM33" s="15" t="s">
        <v>4</v>
      </c>
      <c r="AN33" s="15" t="s">
        <v>4</v>
      </c>
      <c r="AO33" s="15" t="s">
        <v>4</v>
      </c>
      <c r="AP33" s="15" t="s">
        <v>4</v>
      </c>
      <c r="AQ33" s="15" t="s">
        <v>4</v>
      </c>
      <c r="AR33" s="15" t="s">
        <v>4</v>
      </c>
      <c r="AS33" s="15" t="s">
        <v>4</v>
      </c>
      <c r="AT33" s="15" t="s">
        <v>4</v>
      </c>
      <c r="AU33" s="15" t="s">
        <v>4</v>
      </c>
      <c r="AV33" s="15" t="s">
        <v>4</v>
      </c>
      <c r="AW33" s="15" t="s">
        <v>4</v>
      </c>
      <c r="AX33" s="15" t="s">
        <v>4</v>
      </c>
      <c r="AY33" s="15" t="s">
        <v>4</v>
      </c>
      <c r="AZ33" s="15" t="s">
        <v>4</v>
      </c>
      <c r="BA33" s="15" t="s">
        <v>4</v>
      </c>
      <c r="BB33" s="15" t="s">
        <v>4</v>
      </c>
      <c r="BC33" s="15" t="s">
        <v>4</v>
      </c>
      <c r="BD33" s="15" t="s">
        <v>4</v>
      </c>
      <c r="BE33" s="15" t="s">
        <v>4</v>
      </c>
      <c r="BF33" s="15" t="s">
        <v>4</v>
      </c>
      <c r="BG33" s="15" t="s">
        <v>4</v>
      </c>
      <c r="BH33" s="15" t="s">
        <v>4</v>
      </c>
      <c r="BI33" s="15" t="s">
        <v>4</v>
      </c>
      <c r="BJ33" s="15" t="s">
        <v>4</v>
      </c>
    </row>
    <row r="34" spans="1:62" ht="15" x14ac:dyDescent="0.25">
      <c r="A34" s="125"/>
      <c r="B34" s="14" t="s">
        <v>46</v>
      </c>
      <c r="C34" s="15" t="s">
        <v>4</v>
      </c>
      <c r="D34" s="15" t="s">
        <v>4</v>
      </c>
      <c r="E34" s="15" t="s">
        <v>4</v>
      </c>
      <c r="F34" s="15" t="s">
        <v>4</v>
      </c>
      <c r="G34" s="15" t="s">
        <v>4</v>
      </c>
      <c r="H34" s="15" t="s">
        <v>4</v>
      </c>
      <c r="I34" s="15" t="s">
        <v>4</v>
      </c>
      <c r="J34" s="15" t="s">
        <v>4</v>
      </c>
      <c r="K34" s="15" t="s">
        <v>4</v>
      </c>
      <c r="L34" s="15" t="s">
        <v>4</v>
      </c>
      <c r="M34" s="15" t="s">
        <v>4</v>
      </c>
      <c r="N34" s="15" t="s">
        <v>4</v>
      </c>
      <c r="O34" s="15" t="s">
        <v>4</v>
      </c>
      <c r="P34" s="15" t="s">
        <v>4</v>
      </c>
      <c r="Q34" s="15" t="s">
        <v>4</v>
      </c>
      <c r="R34" s="15" t="s">
        <v>4</v>
      </c>
      <c r="S34" s="15" t="s">
        <v>4</v>
      </c>
      <c r="T34" s="15" t="s">
        <v>4</v>
      </c>
      <c r="U34" s="15" t="s">
        <v>4</v>
      </c>
      <c r="V34" s="15" t="s">
        <v>4</v>
      </c>
      <c r="W34" s="15" t="s">
        <v>4</v>
      </c>
      <c r="X34" s="15" t="s">
        <v>4</v>
      </c>
      <c r="Y34" s="15" t="s">
        <v>4</v>
      </c>
      <c r="Z34" s="15" t="s">
        <v>4</v>
      </c>
      <c r="AA34" s="15" t="s">
        <v>4</v>
      </c>
      <c r="AB34" s="15" t="s">
        <v>4</v>
      </c>
      <c r="AC34" s="15" t="s">
        <v>4</v>
      </c>
      <c r="AD34" s="15" t="s">
        <v>4</v>
      </c>
      <c r="AE34" s="15" t="s">
        <v>4</v>
      </c>
      <c r="AF34" s="15" t="s">
        <v>4</v>
      </c>
      <c r="AG34" s="15" t="s">
        <v>4</v>
      </c>
      <c r="AH34" s="15" t="s">
        <v>4</v>
      </c>
      <c r="AI34" s="15" t="s">
        <v>4</v>
      </c>
      <c r="AJ34" s="15" t="s">
        <v>4</v>
      </c>
      <c r="AK34" s="15" t="s">
        <v>4</v>
      </c>
      <c r="AL34" s="15" t="s">
        <v>4</v>
      </c>
      <c r="AM34" s="15" t="s">
        <v>4</v>
      </c>
      <c r="AN34" s="15" t="s">
        <v>4</v>
      </c>
      <c r="AO34" s="15" t="s">
        <v>4</v>
      </c>
      <c r="AP34" s="15" t="s">
        <v>4</v>
      </c>
      <c r="AQ34" s="15" t="s">
        <v>4</v>
      </c>
      <c r="AR34" s="15" t="s">
        <v>4</v>
      </c>
      <c r="AS34" s="15" t="s">
        <v>4</v>
      </c>
      <c r="AT34" s="15" t="s">
        <v>4</v>
      </c>
      <c r="AU34" s="15" t="s">
        <v>4</v>
      </c>
      <c r="AV34" s="15" t="s">
        <v>4</v>
      </c>
      <c r="AW34" s="15" t="s">
        <v>4</v>
      </c>
      <c r="AX34" s="15" t="s">
        <v>4</v>
      </c>
      <c r="AY34" s="15" t="s">
        <v>4</v>
      </c>
      <c r="AZ34" s="15" t="s">
        <v>4</v>
      </c>
      <c r="BA34" s="15" t="s">
        <v>4</v>
      </c>
      <c r="BB34" s="15" t="s">
        <v>4</v>
      </c>
      <c r="BC34" s="15" t="s">
        <v>4</v>
      </c>
      <c r="BD34" s="15" t="s">
        <v>4</v>
      </c>
      <c r="BE34" s="15" t="s">
        <v>4</v>
      </c>
      <c r="BF34" s="15" t="s">
        <v>4</v>
      </c>
      <c r="BG34" s="15" t="s">
        <v>4</v>
      </c>
      <c r="BH34" s="15" t="s">
        <v>4</v>
      </c>
      <c r="BI34" s="15" t="s">
        <v>4</v>
      </c>
      <c r="BJ34" s="15" t="s">
        <v>4</v>
      </c>
    </row>
    <row r="35" spans="1:62" ht="72" x14ac:dyDescent="0.25">
      <c r="A35" s="125"/>
      <c r="B35" s="14" t="s">
        <v>64</v>
      </c>
      <c r="C35" s="15" t="s">
        <v>4</v>
      </c>
      <c r="D35" s="15" t="s">
        <v>4</v>
      </c>
      <c r="E35" s="15" t="s">
        <v>4</v>
      </c>
      <c r="F35" s="15" t="s">
        <v>4</v>
      </c>
      <c r="G35" s="15" t="s">
        <v>4</v>
      </c>
      <c r="H35" s="15" t="s">
        <v>4</v>
      </c>
      <c r="I35" s="15" t="s">
        <v>4</v>
      </c>
      <c r="J35" s="15" t="s">
        <v>4</v>
      </c>
      <c r="K35" s="15" t="s">
        <v>4</v>
      </c>
      <c r="L35" s="15" t="s">
        <v>4</v>
      </c>
      <c r="M35" s="15" t="s">
        <v>4</v>
      </c>
      <c r="N35" s="15" t="s">
        <v>4</v>
      </c>
      <c r="O35" s="15" t="s">
        <v>4</v>
      </c>
      <c r="P35" s="15" t="s">
        <v>4</v>
      </c>
      <c r="Q35" s="15" t="s">
        <v>4</v>
      </c>
      <c r="R35" s="15" t="s">
        <v>4</v>
      </c>
      <c r="S35" s="15" t="s">
        <v>4</v>
      </c>
      <c r="T35" s="15" t="s">
        <v>4</v>
      </c>
      <c r="U35" s="15" t="s">
        <v>4</v>
      </c>
      <c r="V35" s="15" t="s">
        <v>4</v>
      </c>
      <c r="W35" s="15" t="s">
        <v>4</v>
      </c>
      <c r="X35" s="15" t="s">
        <v>4</v>
      </c>
      <c r="Y35" s="15" t="s">
        <v>4</v>
      </c>
      <c r="Z35" s="15" t="s">
        <v>4</v>
      </c>
      <c r="AA35" s="15" t="s">
        <v>4</v>
      </c>
      <c r="AB35" s="15" t="s">
        <v>4</v>
      </c>
      <c r="AC35" s="15" t="s">
        <v>4</v>
      </c>
      <c r="AD35" s="15" t="s">
        <v>4</v>
      </c>
      <c r="AE35" s="15" t="s">
        <v>4</v>
      </c>
      <c r="AF35" s="15" t="s">
        <v>4</v>
      </c>
      <c r="AG35" s="15" t="s">
        <v>4</v>
      </c>
      <c r="AH35" s="15" t="s">
        <v>4</v>
      </c>
      <c r="AI35" s="15" t="s">
        <v>4</v>
      </c>
      <c r="AJ35" s="15" t="s">
        <v>4</v>
      </c>
      <c r="AK35" s="15" t="s">
        <v>4</v>
      </c>
      <c r="AL35" s="15" t="s">
        <v>4</v>
      </c>
      <c r="AM35" s="15" t="s">
        <v>4</v>
      </c>
      <c r="AN35" s="15" t="s">
        <v>4</v>
      </c>
      <c r="AO35" s="15" t="s">
        <v>4</v>
      </c>
      <c r="AP35" s="15" t="s">
        <v>4</v>
      </c>
      <c r="AQ35" s="15" t="s">
        <v>4</v>
      </c>
      <c r="AR35" s="15" t="s">
        <v>4</v>
      </c>
      <c r="AS35" s="15" t="s">
        <v>4</v>
      </c>
      <c r="AT35" s="15" t="s">
        <v>4</v>
      </c>
      <c r="AU35" s="15" t="s">
        <v>4</v>
      </c>
      <c r="AV35" s="15" t="s">
        <v>4</v>
      </c>
      <c r="AW35" s="15" t="s">
        <v>4</v>
      </c>
      <c r="AX35" s="15" t="s">
        <v>4</v>
      </c>
      <c r="AY35" s="15" t="s">
        <v>4</v>
      </c>
      <c r="AZ35" s="15" t="s">
        <v>4</v>
      </c>
      <c r="BA35" s="15" t="s">
        <v>4</v>
      </c>
      <c r="BB35" s="15" t="s">
        <v>4</v>
      </c>
      <c r="BC35" s="15" t="s">
        <v>4</v>
      </c>
      <c r="BD35" s="15" t="s">
        <v>4</v>
      </c>
      <c r="BE35" s="15" t="s">
        <v>4</v>
      </c>
      <c r="BF35" s="15" t="s">
        <v>4</v>
      </c>
      <c r="BG35" s="15" t="s">
        <v>4</v>
      </c>
      <c r="BH35" s="15" t="s">
        <v>4</v>
      </c>
      <c r="BI35" s="15" t="s">
        <v>4</v>
      </c>
      <c r="BJ35" s="15" t="s">
        <v>4</v>
      </c>
    </row>
    <row r="36" spans="1:62" ht="15.75" thickBot="1" x14ac:dyDescent="0.25">
      <c r="A36" s="126"/>
      <c r="B36" s="18" t="s">
        <v>23</v>
      </c>
      <c r="C36" s="19" t="s">
        <v>4</v>
      </c>
      <c r="D36" s="19" t="s">
        <v>4</v>
      </c>
      <c r="E36" s="19" t="s">
        <v>4</v>
      </c>
      <c r="F36" s="19" t="s">
        <v>4</v>
      </c>
      <c r="G36" s="19" t="s">
        <v>4</v>
      </c>
      <c r="H36" s="19" t="s">
        <v>4</v>
      </c>
      <c r="I36" s="19" t="s">
        <v>4</v>
      </c>
      <c r="J36" s="19" t="s">
        <v>4</v>
      </c>
      <c r="K36" s="19" t="s">
        <v>4</v>
      </c>
      <c r="L36" s="19" t="s">
        <v>4</v>
      </c>
      <c r="M36" s="19" t="s">
        <v>4</v>
      </c>
      <c r="N36" s="19" t="s">
        <v>4</v>
      </c>
      <c r="O36" s="19" t="s">
        <v>4</v>
      </c>
      <c r="P36" s="19" t="s">
        <v>4</v>
      </c>
      <c r="Q36" s="19" t="s">
        <v>4</v>
      </c>
      <c r="R36" s="19" t="s">
        <v>4</v>
      </c>
      <c r="S36" s="19" t="s">
        <v>4</v>
      </c>
      <c r="T36" s="19" t="s">
        <v>4</v>
      </c>
      <c r="U36" s="19" t="s">
        <v>4</v>
      </c>
      <c r="V36" s="19" t="s">
        <v>4</v>
      </c>
      <c r="W36" s="19" t="s">
        <v>4</v>
      </c>
      <c r="X36" s="19" t="s">
        <v>4</v>
      </c>
      <c r="Y36" s="19" t="s">
        <v>4</v>
      </c>
      <c r="Z36" s="19" t="s">
        <v>4</v>
      </c>
      <c r="AA36" s="19" t="s">
        <v>4</v>
      </c>
      <c r="AB36" s="19" t="s">
        <v>4</v>
      </c>
      <c r="AC36" s="19" t="s">
        <v>4</v>
      </c>
      <c r="AD36" s="19" t="s">
        <v>4</v>
      </c>
      <c r="AE36" s="19" t="s">
        <v>4</v>
      </c>
      <c r="AF36" s="19" t="s">
        <v>4</v>
      </c>
      <c r="AG36" s="19" t="s">
        <v>4</v>
      </c>
      <c r="AH36" s="19" t="s">
        <v>4</v>
      </c>
      <c r="AI36" s="19" t="s">
        <v>4</v>
      </c>
      <c r="AJ36" s="19" t="s">
        <v>4</v>
      </c>
      <c r="AK36" s="19" t="s">
        <v>4</v>
      </c>
      <c r="AL36" s="19" t="s">
        <v>4</v>
      </c>
      <c r="AM36" s="19" t="s">
        <v>4</v>
      </c>
      <c r="AN36" s="19" t="s">
        <v>4</v>
      </c>
      <c r="AO36" s="19" t="s">
        <v>4</v>
      </c>
      <c r="AP36" s="19" t="s">
        <v>4</v>
      </c>
      <c r="AQ36" s="19" t="s">
        <v>4</v>
      </c>
      <c r="AR36" s="19" t="s">
        <v>4</v>
      </c>
      <c r="AS36" s="19" t="s">
        <v>4</v>
      </c>
      <c r="AT36" s="19" t="s">
        <v>4</v>
      </c>
      <c r="AU36" s="19" t="s">
        <v>4</v>
      </c>
      <c r="AV36" s="19" t="s">
        <v>4</v>
      </c>
      <c r="AW36" s="19" t="s">
        <v>4</v>
      </c>
      <c r="AX36" s="19" t="s">
        <v>4</v>
      </c>
      <c r="AY36" s="19" t="s">
        <v>4</v>
      </c>
      <c r="AZ36" s="19" t="s">
        <v>4</v>
      </c>
      <c r="BA36" s="19" t="s">
        <v>4</v>
      </c>
      <c r="BB36" s="19" t="s">
        <v>4</v>
      </c>
      <c r="BC36" s="19" t="s">
        <v>4</v>
      </c>
      <c r="BD36" s="19" t="s">
        <v>4</v>
      </c>
      <c r="BE36" s="19" t="s">
        <v>4</v>
      </c>
      <c r="BF36" s="19" t="s">
        <v>4</v>
      </c>
      <c r="BG36" s="19" t="s">
        <v>4</v>
      </c>
      <c r="BH36" s="19" t="s">
        <v>4</v>
      </c>
      <c r="BI36" s="19" t="s">
        <v>4</v>
      </c>
      <c r="BJ36" s="19" t="s">
        <v>4</v>
      </c>
    </row>
    <row r="37" spans="1:62" s="1" customFormat="1" ht="14.25" customHeight="1" x14ac:dyDescent="0.2">
      <c r="B37" s="4"/>
      <c r="C37" s="20"/>
      <c r="G37" s="4"/>
      <c r="H37" s="4"/>
    </row>
    <row r="38" spans="1:62" s="1" customFormat="1" ht="14.25" customHeight="1" x14ac:dyDescent="0.2">
      <c r="A38" s="85" t="s">
        <v>115</v>
      </c>
      <c r="B38" s="4"/>
      <c r="C38" s="20" t="s">
        <v>116</v>
      </c>
      <c r="G38" s="4"/>
      <c r="H38" s="4"/>
    </row>
    <row r="39" spans="1:62" x14ac:dyDescent="0.2">
      <c r="A39" s="86"/>
      <c r="B39" s="86"/>
      <c r="C39" s="86"/>
    </row>
    <row r="40" spans="1:62" x14ac:dyDescent="0.2">
      <c r="A40" s="86" t="s">
        <v>117</v>
      </c>
      <c r="B40" s="86"/>
      <c r="C40" s="86"/>
    </row>
  </sheetData>
  <mergeCells count="14">
    <mergeCell ref="A17:A18"/>
    <mergeCell ref="B17:B18"/>
    <mergeCell ref="C17:H17"/>
    <mergeCell ref="A25:A30"/>
    <mergeCell ref="A31:A36"/>
    <mergeCell ref="A19:A24"/>
    <mergeCell ref="A15:E15"/>
    <mergeCell ref="A1:BF1"/>
    <mergeCell ref="A2:BF2"/>
    <mergeCell ref="A3:B3"/>
    <mergeCell ref="C3:D3"/>
    <mergeCell ref="A11:A12"/>
    <mergeCell ref="B11:B12"/>
    <mergeCell ref="C11:E11"/>
  </mergeCells>
  <pageMargins left="0.5" right="0.39370078740157483" top="0.39370078740157483" bottom="0.39370078740157483" header="0.3" footer="0.3"/>
  <pageSetup paperSize="9" scale="6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rgb="FFFF0000"/>
    <pageSetUpPr fitToPage="1"/>
  </sheetPr>
  <dimension ref="A1:BR75"/>
  <sheetViews>
    <sheetView tabSelected="1" topLeftCell="A7" workbookViewId="0">
      <selection activeCell="E34" sqref="E34"/>
    </sheetView>
  </sheetViews>
  <sheetFormatPr defaultRowHeight="12.75" x14ac:dyDescent="0.2"/>
  <cols>
    <col min="2" max="2" width="38.85546875" customWidth="1"/>
    <col min="4" max="4" width="12.42578125" customWidth="1"/>
    <col min="5" max="5" width="9.42578125" customWidth="1"/>
    <col min="6" max="6" width="11.7109375" customWidth="1"/>
    <col min="7" max="7" width="8.85546875" customWidth="1"/>
    <col min="8" max="8" width="12.7109375" customWidth="1"/>
    <col min="11" max="11" width="12.28515625" customWidth="1"/>
    <col min="12" max="12" width="10.85546875" customWidth="1"/>
    <col min="13" max="13" width="12" customWidth="1"/>
    <col min="24" max="63" width="0" hidden="1" customWidth="1"/>
  </cols>
  <sheetData>
    <row r="1" spans="1:70" ht="15.75" x14ac:dyDescent="0.2">
      <c r="A1" s="215" t="s">
        <v>81</v>
      </c>
      <c r="B1" s="215"/>
      <c r="C1" s="215"/>
      <c r="D1" s="215"/>
      <c r="E1" s="215"/>
      <c r="F1" s="215"/>
      <c r="G1" s="215"/>
      <c r="H1" s="215"/>
      <c r="I1" s="215"/>
      <c r="J1" s="41"/>
      <c r="K1" s="41"/>
      <c r="L1" s="41"/>
      <c r="M1" s="41"/>
      <c r="N1" s="41"/>
      <c r="O1" s="41"/>
      <c r="P1" s="41"/>
      <c r="Q1" s="41"/>
      <c r="R1" s="4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ht="15.75" x14ac:dyDescent="0.2">
      <c r="A2" s="215"/>
      <c r="B2" s="215"/>
      <c r="C2" s="215"/>
      <c r="D2" s="215"/>
      <c r="E2" s="215"/>
      <c r="F2" s="215"/>
      <c r="G2" s="215"/>
      <c r="H2" s="215"/>
      <c r="I2" s="215"/>
      <c r="J2" s="41"/>
      <c r="K2" s="41"/>
      <c r="L2" s="41"/>
      <c r="M2" s="41"/>
      <c r="N2" s="2"/>
      <c r="O2" s="42"/>
      <c r="P2" s="2"/>
      <c r="Q2" s="40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ht="16.5" thickBot="1" x14ac:dyDescent="0.25">
      <c r="A3" s="129" t="s">
        <v>114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ht="32.25" customHeight="1" thickTop="1" x14ac:dyDescent="0.2">
      <c r="A4" s="216" t="s">
        <v>138</v>
      </c>
      <c r="B4" s="217"/>
      <c r="C4" s="217"/>
      <c r="D4" s="218"/>
      <c r="E4" s="219" t="s">
        <v>136</v>
      </c>
      <c r="F4" s="220"/>
      <c r="G4" s="220"/>
      <c r="H4" s="220"/>
      <c r="I4" s="220"/>
      <c r="J4" s="220"/>
      <c r="K4" s="220"/>
      <c r="L4" s="220"/>
      <c r="M4" s="220"/>
      <c r="N4" s="220"/>
      <c r="O4" s="221"/>
      <c r="P4" s="200" t="s">
        <v>101</v>
      </c>
      <c r="Q4" s="201"/>
      <c r="R4" s="202"/>
      <c r="S4" s="203" t="s">
        <v>82</v>
      </c>
      <c r="T4" s="204"/>
      <c r="U4" s="205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</row>
    <row r="5" spans="1:70" ht="36" customHeight="1" x14ac:dyDescent="0.2">
      <c r="A5" s="206" t="s">
        <v>137</v>
      </c>
      <c r="B5" s="207"/>
      <c r="C5" s="207"/>
      <c r="D5" s="208"/>
      <c r="E5" s="206"/>
      <c r="F5" s="207"/>
      <c r="G5" s="207"/>
      <c r="H5" s="207"/>
      <c r="I5" s="207"/>
      <c r="J5" s="207"/>
      <c r="K5" s="207"/>
      <c r="L5" s="207"/>
      <c r="M5" s="207"/>
      <c r="N5" s="207"/>
      <c r="O5" s="208"/>
      <c r="P5" s="209">
        <v>32514474989</v>
      </c>
      <c r="Q5" s="210"/>
      <c r="R5" s="211"/>
      <c r="S5" s="212"/>
      <c r="T5" s="213"/>
      <c r="U5" s="214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</row>
    <row r="6" spans="1:70" ht="36" customHeight="1" x14ac:dyDescent="0.2">
      <c r="A6" s="192" t="s">
        <v>83</v>
      </c>
      <c r="B6" s="193"/>
      <c r="C6" s="194" t="s">
        <v>84</v>
      </c>
      <c r="D6" s="195"/>
      <c r="E6" s="45"/>
      <c r="F6" s="39"/>
      <c r="G6" s="39"/>
      <c r="H6" s="39"/>
      <c r="I6" s="39"/>
      <c r="J6" s="39"/>
      <c r="K6" s="39"/>
      <c r="L6" s="39"/>
      <c r="M6" s="39"/>
      <c r="N6" s="3"/>
      <c r="O6" s="39"/>
      <c r="P6" s="3"/>
      <c r="Q6" s="39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</row>
    <row r="7" spans="1:70" ht="27.75" customHeight="1" thickBot="1" x14ac:dyDescent="0.25">
      <c r="A7" s="196" t="s">
        <v>135</v>
      </c>
      <c r="B7" s="197"/>
      <c r="C7" s="198">
        <v>734724.8</v>
      </c>
      <c r="D7" s="199"/>
      <c r="E7" s="39"/>
      <c r="F7" s="39"/>
      <c r="G7" s="39"/>
      <c r="H7" s="39"/>
      <c r="I7" s="39"/>
      <c r="J7" s="39"/>
      <c r="K7" s="39"/>
      <c r="L7" s="39"/>
      <c r="M7" s="39"/>
      <c r="N7" s="3"/>
      <c r="O7" s="39"/>
      <c r="P7" s="3"/>
      <c r="Q7" s="39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</row>
    <row r="8" spans="1:70" ht="14.25" thickTop="1" thickBot="1" x14ac:dyDescent="0.25">
      <c r="A8" s="5"/>
      <c r="B8" s="2"/>
      <c r="C8" s="46"/>
      <c r="D8" s="46"/>
      <c r="E8" s="47"/>
      <c r="F8" s="6"/>
      <c r="G8" s="2"/>
      <c r="H8" s="2"/>
      <c r="I8" s="2"/>
      <c r="J8" s="2"/>
      <c r="K8" s="2"/>
      <c r="L8" s="2"/>
      <c r="M8" s="2"/>
      <c r="N8" s="2"/>
      <c r="O8" s="42"/>
      <c r="P8" s="2"/>
      <c r="Q8" s="40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54.75" customHeight="1" thickBot="1" x14ac:dyDescent="0.25">
      <c r="A9" s="48" t="s">
        <v>1</v>
      </c>
      <c r="B9" s="49" t="s">
        <v>2</v>
      </c>
      <c r="C9" s="184" t="s">
        <v>85</v>
      </c>
      <c r="D9" s="185"/>
      <c r="E9" s="184" t="s">
        <v>3</v>
      </c>
      <c r="F9" s="185"/>
      <c r="G9" s="185"/>
      <c r="H9" s="186" t="s">
        <v>86</v>
      </c>
      <c r="I9" s="187"/>
      <c r="J9" s="188"/>
      <c r="K9" s="189" t="s">
        <v>87</v>
      </c>
      <c r="L9" s="190"/>
      <c r="M9" s="190"/>
      <c r="N9" s="190"/>
      <c r="O9" s="191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</row>
    <row r="10" spans="1:70" ht="52.5" thickTop="1" thickBot="1" x14ac:dyDescent="0.25">
      <c r="A10" s="50">
        <v>1</v>
      </c>
      <c r="B10" s="21" t="s">
        <v>139</v>
      </c>
      <c r="C10" s="168">
        <v>726394</v>
      </c>
      <c r="D10" s="169"/>
      <c r="E10" s="170"/>
      <c r="F10" s="171"/>
      <c r="G10" s="171"/>
      <c r="H10" s="172"/>
      <c r="I10" s="173"/>
      <c r="J10" s="174"/>
      <c r="K10" s="175"/>
      <c r="L10" s="176"/>
      <c r="M10" s="176"/>
      <c r="N10" s="176"/>
      <c r="O10" s="17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4.25" thickTop="1" thickBot="1" x14ac:dyDescent="0.25">
      <c r="A11" s="50">
        <v>2</v>
      </c>
      <c r="B11" s="21"/>
      <c r="C11" s="168"/>
      <c r="D11" s="169"/>
      <c r="E11" s="170"/>
      <c r="F11" s="171"/>
      <c r="G11" s="171"/>
      <c r="H11" s="172"/>
      <c r="I11" s="173"/>
      <c r="J11" s="174"/>
      <c r="K11" s="175"/>
      <c r="L11" s="176"/>
      <c r="M11" s="176"/>
      <c r="N11" s="176"/>
      <c r="O11" s="177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4.25" thickTop="1" thickBot="1" x14ac:dyDescent="0.25">
      <c r="A12" s="50">
        <v>3</v>
      </c>
      <c r="B12" s="21"/>
      <c r="C12" s="168"/>
      <c r="D12" s="169"/>
      <c r="E12" s="92"/>
      <c r="F12" s="93"/>
      <c r="G12" s="93"/>
      <c r="H12" s="94"/>
      <c r="I12" s="95"/>
      <c r="J12" s="96"/>
      <c r="K12" s="97"/>
      <c r="L12" s="98"/>
      <c r="M12" s="98"/>
      <c r="N12" s="98"/>
      <c r="O12" s="99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4.25" thickTop="1" thickBot="1" x14ac:dyDescent="0.25">
      <c r="A13" s="50">
        <v>4</v>
      </c>
      <c r="B13" s="21"/>
      <c r="C13" s="178"/>
      <c r="D13" s="183"/>
      <c r="E13" s="102"/>
      <c r="F13" s="103"/>
      <c r="G13" s="103"/>
      <c r="H13" s="104"/>
      <c r="I13" s="105"/>
      <c r="J13" s="106"/>
      <c r="K13" s="107"/>
      <c r="L13" s="108"/>
      <c r="M13" s="108"/>
      <c r="N13" s="108"/>
      <c r="O13" s="10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4.25" thickTop="1" thickBot="1" x14ac:dyDescent="0.25">
      <c r="A14" s="50">
        <v>5</v>
      </c>
      <c r="B14" s="21"/>
      <c r="C14" s="100"/>
      <c r="D14" s="101"/>
      <c r="E14" s="102"/>
      <c r="F14" s="103"/>
      <c r="G14" s="103"/>
      <c r="H14" s="104"/>
      <c r="I14" s="105"/>
      <c r="J14" s="106"/>
      <c r="K14" s="107"/>
      <c r="L14" s="108"/>
      <c r="M14" s="108"/>
      <c r="N14" s="108"/>
      <c r="O14" s="109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4.25" thickTop="1" thickBot="1" x14ac:dyDescent="0.25">
      <c r="A15" s="50">
        <v>6</v>
      </c>
      <c r="B15" s="21"/>
      <c r="C15" s="168"/>
      <c r="D15" s="169"/>
      <c r="E15" s="92"/>
      <c r="F15" s="93"/>
      <c r="G15" s="93"/>
      <c r="H15" s="94"/>
      <c r="I15" s="95"/>
      <c r="J15" s="96"/>
      <c r="K15" s="97"/>
      <c r="L15" s="98"/>
      <c r="M15" s="98"/>
      <c r="N15" s="98"/>
      <c r="O15" s="99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4.25" thickTop="1" thickBot="1" x14ac:dyDescent="0.25">
      <c r="A16" s="50">
        <v>7</v>
      </c>
      <c r="B16" s="21"/>
      <c r="C16" s="110"/>
      <c r="D16" s="111"/>
      <c r="E16" s="112"/>
      <c r="F16" s="113"/>
      <c r="G16" s="113"/>
      <c r="H16" s="114"/>
      <c r="I16" s="115"/>
      <c r="J16" s="116"/>
      <c r="K16" s="117"/>
      <c r="L16" s="118"/>
      <c r="M16" s="118"/>
      <c r="N16" s="118"/>
      <c r="O16" s="119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4.25" thickTop="1" thickBot="1" x14ac:dyDescent="0.25">
      <c r="A17" s="50"/>
      <c r="B17" s="21"/>
      <c r="C17" s="110"/>
      <c r="D17" s="111"/>
      <c r="E17" s="112"/>
      <c r="F17" s="113"/>
      <c r="G17" s="113"/>
      <c r="H17" s="114"/>
      <c r="I17" s="115"/>
      <c r="J17" s="116"/>
      <c r="K17" s="117"/>
      <c r="L17" s="118"/>
      <c r="M17" s="118"/>
      <c r="N17" s="118"/>
      <c r="O17" s="11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4.25" thickTop="1" thickBot="1" x14ac:dyDescent="0.25">
      <c r="A18" s="50"/>
      <c r="B18" s="21"/>
      <c r="C18" s="110"/>
      <c r="D18" s="111"/>
      <c r="E18" s="112"/>
      <c r="F18" s="113"/>
      <c r="G18" s="113"/>
      <c r="H18" s="114"/>
      <c r="I18" s="115"/>
      <c r="J18" s="116"/>
      <c r="K18" s="117"/>
      <c r="L18" s="118"/>
      <c r="M18" s="118"/>
      <c r="N18" s="118"/>
      <c r="O18" s="119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29.25" customHeight="1" thickTop="1" thickBot="1" x14ac:dyDescent="0.25">
      <c r="A19" s="50"/>
      <c r="B19" s="21"/>
      <c r="C19" s="178"/>
      <c r="D19" s="179"/>
      <c r="E19" s="170"/>
      <c r="F19" s="171"/>
      <c r="G19" s="171"/>
      <c r="H19" s="180"/>
      <c r="I19" s="181"/>
      <c r="J19" s="182"/>
      <c r="K19" s="175"/>
      <c r="L19" s="176"/>
      <c r="M19" s="176"/>
      <c r="N19" s="176"/>
      <c r="O19" s="177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31.5" customHeight="1" thickBot="1" x14ac:dyDescent="0.25">
      <c r="A20" s="51"/>
      <c r="B20" s="51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52"/>
      <c r="Q20" s="52"/>
      <c r="R20" s="52"/>
      <c r="S20" s="52"/>
    </row>
    <row r="21" spans="1:70" ht="31.5" customHeight="1" thickTop="1" thickBot="1" x14ac:dyDescent="0.25">
      <c r="A21" s="160" t="s">
        <v>6</v>
      </c>
      <c r="B21" s="161"/>
      <c r="C21" s="164" t="s">
        <v>88</v>
      </c>
      <c r="D21" s="166" t="s">
        <v>89</v>
      </c>
      <c r="E21" s="167"/>
      <c r="F21" s="167"/>
      <c r="G21" s="167"/>
      <c r="H21" s="167"/>
      <c r="I21" s="167"/>
      <c r="J21" s="167"/>
      <c r="K21" s="167"/>
      <c r="L21" s="167"/>
      <c r="M21" s="167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3"/>
    </row>
    <row r="22" spans="1:70" ht="73.5" customHeight="1" thickTop="1" thickBot="1" x14ac:dyDescent="0.25">
      <c r="A22" s="162"/>
      <c r="B22" s="163"/>
      <c r="C22" s="165"/>
      <c r="D22" s="90" t="s">
        <v>140</v>
      </c>
      <c r="E22" s="91"/>
      <c r="F22" s="91"/>
      <c r="G22" s="91"/>
      <c r="H22" s="91"/>
      <c r="I22" s="120"/>
      <c r="J22" s="121"/>
      <c r="K22" s="121">
        <v>8</v>
      </c>
      <c r="L22" s="53">
        <v>9</v>
      </c>
      <c r="M22" s="53">
        <v>10</v>
      </c>
      <c r="N22" s="53">
        <v>11</v>
      </c>
      <c r="O22" s="53">
        <v>12</v>
      </c>
      <c r="P22" s="55">
        <v>13</v>
      </c>
      <c r="Q22" s="53">
        <v>14</v>
      </c>
      <c r="R22" s="53">
        <v>15</v>
      </c>
      <c r="S22" s="55">
        <v>16</v>
      </c>
      <c r="T22" s="54">
        <v>17</v>
      </c>
      <c r="U22" s="53">
        <v>18</v>
      </c>
      <c r="V22" s="53">
        <v>19</v>
      </c>
      <c r="W22" s="56">
        <v>20</v>
      </c>
      <c r="X22" s="56">
        <v>21</v>
      </c>
      <c r="Y22" s="56">
        <v>22</v>
      </c>
      <c r="Z22" s="56">
        <v>23</v>
      </c>
      <c r="AA22" s="56">
        <v>24</v>
      </c>
      <c r="AB22" s="56">
        <v>25</v>
      </c>
      <c r="AC22" s="56">
        <v>26</v>
      </c>
      <c r="AD22" s="56">
        <v>27</v>
      </c>
      <c r="AE22" s="56">
        <v>28</v>
      </c>
      <c r="AF22" s="56">
        <v>29</v>
      </c>
      <c r="AG22" s="56">
        <v>30</v>
      </c>
      <c r="AH22" s="56">
        <v>31</v>
      </c>
      <c r="AI22" s="56">
        <v>32</v>
      </c>
      <c r="AJ22" s="56">
        <v>33</v>
      </c>
      <c r="AK22" s="56">
        <v>34</v>
      </c>
      <c r="AL22" s="56">
        <v>35</v>
      </c>
      <c r="AM22" s="56">
        <v>36</v>
      </c>
      <c r="AN22" s="56">
        <v>37</v>
      </c>
      <c r="AO22" s="56">
        <v>38</v>
      </c>
      <c r="AP22" s="56">
        <v>39</v>
      </c>
      <c r="AQ22" s="56">
        <v>40</v>
      </c>
      <c r="AR22" s="56">
        <v>41</v>
      </c>
      <c r="AS22" s="56">
        <v>42</v>
      </c>
      <c r="AT22" s="56">
        <v>43</v>
      </c>
      <c r="AU22" s="56">
        <v>44</v>
      </c>
      <c r="AV22" s="56">
        <v>45</v>
      </c>
      <c r="AW22" s="56">
        <v>46</v>
      </c>
      <c r="AX22" s="56">
        <v>47</v>
      </c>
      <c r="AY22" s="56">
        <v>48</v>
      </c>
      <c r="AZ22" s="56">
        <v>49</v>
      </c>
      <c r="BA22" s="56">
        <v>50</v>
      </c>
      <c r="BB22" s="56">
        <v>51</v>
      </c>
      <c r="BC22" s="56">
        <v>52</v>
      </c>
      <c r="BD22" s="56">
        <v>53</v>
      </c>
      <c r="BE22" s="56">
        <v>54</v>
      </c>
      <c r="BF22" s="56">
        <v>55</v>
      </c>
      <c r="BG22" s="56">
        <v>56</v>
      </c>
      <c r="BH22" s="56">
        <v>57</v>
      </c>
      <c r="BI22" s="56">
        <v>58</v>
      </c>
      <c r="BJ22" s="56">
        <v>59</v>
      </c>
      <c r="BK22" s="56">
        <v>60</v>
      </c>
    </row>
    <row r="23" spans="1:70" ht="31.5" customHeight="1" thickTop="1" thickBot="1" x14ac:dyDescent="0.25">
      <c r="A23" s="151" t="s">
        <v>90</v>
      </c>
      <c r="B23" s="152"/>
      <c r="C23" s="57">
        <v>0.15</v>
      </c>
      <c r="D23" s="58">
        <f>SUM(D24*$C24,D28*$C28,D30*$C30)</f>
        <v>3.35</v>
      </c>
      <c r="E23" s="58"/>
      <c r="F23" s="58"/>
      <c r="G23" s="58"/>
      <c r="H23" s="58"/>
      <c r="I23" s="58"/>
      <c r="J23" s="58"/>
      <c r="K23" s="58"/>
      <c r="L23" s="58"/>
      <c r="M23" s="58"/>
      <c r="N23" s="58">
        <f t="shared" ref="N23:W23" si="0">SUM(N24*$C24,N28*$C28,N30*$C30)</f>
        <v>0</v>
      </c>
      <c r="O23" s="58">
        <f t="shared" si="0"/>
        <v>0</v>
      </c>
      <c r="P23" s="58">
        <f t="shared" si="0"/>
        <v>0</v>
      </c>
      <c r="Q23" s="58">
        <f t="shared" si="0"/>
        <v>0</v>
      </c>
      <c r="R23" s="58">
        <f t="shared" si="0"/>
        <v>0</v>
      </c>
      <c r="S23" s="58">
        <f t="shared" si="0"/>
        <v>0</v>
      </c>
      <c r="T23" s="58">
        <f t="shared" si="0"/>
        <v>0</v>
      </c>
      <c r="U23" s="58">
        <f t="shared" si="0"/>
        <v>0</v>
      </c>
      <c r="V23" s="58">
        <f t="shared" si="0"/>
        <v>0</v>
      </c>
      <c r="W23" s="58">
        <f t="shared" si="0"/>
        <v>0</v>
      </c>
      <c r="X23" s="58" t="e">
        <f>SUM(X24*$C24,X28*$C28,X30*$C30,#REF!*#REF!)</f>
        <v>#VALUE!</v>
      </c>
      <c r="Y23" s="58" t="e">
        <f>SUM(Y24*$C24,Y28*$C28,Y30*$C30,#REF!*#REF!)</f>
        <v>#VALUE!</v>
      </c>
      <c r="Z23" s="58" t="e">
        <f>SUM(Z24*$C24,Z28*$C28,Z30*$C30,#REF!*#REF!)</f>
        <v>#VALUE!</v>
      </c>
      <c r="AA23" s="58" t="e">
        <f>SUM(AA24*$C24,AA28*$C28,AA30*$C30,#REF!*#REF!)</f>
        <v>#VALUE!</v>
      </c>
      <c r="AB23" s="58" t="e">
        <f>SUM(AB24*$C24,AB28*$C28,AB30*$C30,#REF!*#REF!)</f>
        <v>#VALUE!</v>
      </c>
      <c r="AC23" s="58" t="e">
        <f>SUM(AC24*$C24,AC28*$C28,AC30*$C30,#REF!*#REF!)</f>
        <v>#VALUE!</v>
      </c>
      <c r="AD23" s="58" t="e">
        <f>SUM(AD24*$C24,AD28*$C28,AD30*$C30,#REF!*#REF!)</f>
        <v>#VALUE!</v>
      </c>
      <c r="AE23" s="58" t="e">
        <f>SUM(AE24*$C24,AE28*$C28,AE30*$C30,#REF!*#REF!)</f>
        <v>#VALUE!</v>
      </c>
      <c r="AF23" s="58" t="e">
        <f>SUM(AF24*$C24,AF28*$C28,AF30*$C30,#REF!*#REF!)</f>
        <v>#VALUE!</v>
      </c>
      <c r="AG23" s="58" t="e">
        <f>SUM(AG24*$C24,AG28*$C28,AG30*$C30,#REF!*#REF!)</f>
        <v>#VALUE!</v>
      </c>
      <c r="AH23" s="58" t="e">
        <f>SUM(AH24*$C24,AH28*$C28,AH30*$C30,#REF!*#REF!)</f>
        <v>#VALUE!</v>
      </c>
      <c r="AI23" s="58" t="e">
        <f>SUM(AI24*$C24,AI28*$C28,AI30*$C30,#REF!*#REF!)</f>
        <v>#VALUE!</v>
      </c>
      <c r="AJ23" s="58" t="e">
        <f>SUM(AJ24*$C24,AJ28*$C28,AJ30*$C30,#REF!*#REF!)</f>
        <v>#VALUE!</v>
      </c>
      <c r="AK23" s="58" t="e">
        <f>SUM(AK24*$C24,AK28*$C28,AK30*$C30,#REF!*#REF!)</f>
        <v>#VALUE!</v>
      </c>
      <c r="AL23" s="58" t="e">
        <f>SUM(AL24*$C24,AL28*$C28,AL30*$C30,#REF!*#REF!)</f>
        <v>#VALUE!</v>
      </c>
      <c r="AM23" s="58" t="e">
        <f>SUM(AM24*$C24,AM28*$C28,AM30*$C30,#REF!*#REF!)</f>
        <v>#VALUE!</v>
      </c>
      <c r="AN23" s="58" t="e">
        <f>SUM(AN24*$C24,AN28*$C28,AN30*$C30,#REF!*#REF!)</f>
        <v>#VALUE!</v>
      </c>
      <c r="AO23" s="58" t="e">
        <f>SUM(AO24*$C24,AO28*$C28,AO30*$C30,#REF!*#REF!)</f>
        <v>#VALUE!</v>
      </c>
      <c r="AP23" s="58" t="e">
        <f>SUM(AP24*$C24,AP28*$C28,AP30*$C30,#REF!*#REF!)</f>
        <v>#VALUE!</v>
      </c>
      <c r="AQ23" s="58" t="e">
        <f>SUM(AQ24*$C24,AQ28*$C28,AQ30*$C30,#REF!*#REF!)</f>
        <v>#VALUE!</v>
      </c>
      <c r="AR23" s="58" t="e">
        <f>SUM(AR24*$C24,AR28*$C28,AR30*$C30,#REF!*#REF!)</f>
        <v>#VALUE!</v>
      </c>
      <c r="AS23" s="58" t="e">
        <f>SUM(AS24*$C24,AS28*$C28,AS30*$C30,#REF!*#REF!)</f>
        <v>#VALUE!</v>
      </c>
      <c r="AT23" s="58" t="e">
        <f>SUM(AT24*$C24,AT28*$C28,AT30*$C30,#REF!*#REF!)</f>
        <v>#VALUE!</v>
      </c>
      <c r="AU23" s="58" t="e">
        <f>SUM(AU24*$C24,AU28*$C28,AU30*$C30,#REF!*#REF!)</f>
        <v>#VALUE!</v>
      </c>
      <c r="AV23" s="58" t="e">
        <f>SUM(AV24*$C24,AV28*$C28,AV30*$C30,#REF!*#REF!)</f>
        <v>#VALUE!</v>
      </c>
      <c r="AW23" s="58" t="e">
        <f>SUM(AW24*$C24,AW28*$C28,AW30*$C30,#REF!*#REF!)</f>
        <v>#VALUE!</v>
      </c>
      <c r="AX23" s="58" t="e">
        <f>SUM(AX24*$C24,AX28*$C28,AX30*$C30,#REF!*#REF!)</f>
        <v>#VALUE!</v>
      </c>
      <c r="AY23" s="58" t="e">
        <f>SUM(AY24*$C24,AY28*$C28,AY30*$C30,#REF!*#REF!)</f>
        <v>#VALUE!</v>
      </c>
      <c r="AZ23" s="58" t="e">
        <f>SUM(AZ24*$C24,AZ28*$C28,AZ30*$C30,#REF!*#REF!)</f>
        <v>#VALUE!</v>
      </c>
      <c r="BA23" s="58" t="e">
        <f>SUM(BA24*$C24,BA28*$C28,BA30*$C30,#REF!*#REF!)</f>
        <v>#VALUE!</v>
      </c>
      <c r="BB23" s="58" t="e">
        <f>SUM(BB24*$C24,BB28*$C28,BB30*$C30,#REF!*#REF!)</f>
        <v>#VALUE!</v>
      </c>
      <c r="BC23" s="58" t="e">
        <f>SUM(BC24*$C24,BC28*$C28,BC30*$C30,#REF!*#REF!)</f>
        <v>#VALUE!</v>
      </c>
      <c r="BD23" s="58" t="e">
        <f>SUM(BD24*$C24,BD28*$C28,BD30*$C30,#REF!*#REF!)</f>
        <v>#VALUE!</v>
      </c>
      <c r="BE23" s="58" t="e">
        <f>SUM(BE24*$C24,BE28*$C28,BE30*$C30,#REF!*#REF!)</f>
        <v>#VALUE!</v>
      </c>
      <c r="BF23" s="58" t="e">
        <f>SUM(BF24*$C24,BF28*$C28,BF30*$C30,#REF!*#REF!)</f>
        <v>#VALUE!</v>
      </c>
      <c r="BG23" s="58" t="e">
        <f>SUM(BG24*$C24,BG28*$C28,BG30*$C30,#REF!*#REF!)</f>
        <v>#VALUE!</v>
      </c>
      <c r="BH23" s="58" t="e">
        <f>SUM(BH24*$C24,BH28*$C28,BH30*$C30,#REF!*#REF!)</f>
        <v>#VALUE!</v>
      </c>
      <c r="BI23" s="58" t="e">
        <f>SUM(BI24*$C24,BI28*$C28,BI30*$C30,#REF!*#REF!)</f>
        <v>#VALUE!</v>
      </c>
      <c r="BJ23" s="58" t="e">
        <f>SUM(BJ24*$C24,BJ28*$C28,BJ30*$C30,#REF!*#REF!)</f>
        <v>#VALUE!</v>
      </c>
      <c r="BK23" s="58" t="e">
        <f>SUM(BK24*$C24,BK28*$C28,BK30*$C30,#REF!*#REF!)</f>
        <v>#VALUE!</v>
      </c>
    </row>
    <row r="24" spans="1:70" ht="31.5" customHeight="1" thickTop="1" thickBot="1" x14ac:dyDescent="0.25">
      <c r="A24" s="156" t="s">
        <v>124</v>
      </c>
      <c r="B24" s="157"/>
      <c r="C24" s="60">
        <v>0.25</v>
      </c>
      <c r="D24" s="61">
        <f>SUM(D25*$C25,D26*$C26,D27*$C27)</f>
        <v>5</v>
      </c>
      <c r="E24" s="61"/>
      <c r="F24" s="61"/>
      <c r="G24" s="61"/>
      <c r="H24" s="61"/>
      <c r="I24" s="61"/>
      <c r="J24" s="61"/>
      <c r="K24" s="61"/>
      <c r="L24" s="61"/>
      <c r="M24" s="61"/>
      <c r="N24" s="61">
        <f t="shared" ref="N24:AG24" si="1">SUM(N25*$C25,N26*$C26,N27*$C27)</f>
        <v>0</v>
      </c>
      <c r="O24" s="61">
        <f t="shared" si="1"/>
        <v>0</v>
      </c>
      <c r="P24" s="61">
        <f t="shared" si="1"/>
        <v>0</v>
      </c>
      <c r="Q24" s="61">
        <f t="shared" si="1"/>
        <v>0</v>
      </c>
      <c r="R24" s="61">
        <f t="shared" si="1"/>
        <v>0</v>
      </c>
      <c r="S24" s="61">
        <f t="shared" si="1"/>
        <v>0</v>
      </c>
      <c r="T24" s="61">
        <f t="shared" si="1"/>
        <v>0</v>
      </c>
      <c r="U24" s="61">
        <f t="shared" si="1"/>
        <v>0</v>
      </c>
      <c r="V24" s="61">
        <f t="shared" si="1"/>
        <v>0</v>
      </c>
      <c r="W24" s="61">
        <f t="shared" si="1"/>
        <v>0</v>
      </c>
      <c r="X24" s="61">
        <f t="shared" si="1"/>
        <v>3</v>
      </c>
      <c r="Y24" s="61">
        <f t="shared" si="1"/>
        <v>3</v>
      </c>
      <c r="Z24" s="61">
        <f t="shared" si="1"/>
        <v>3</v>
      </c>
      <c r="AA24" s="61">
        <f t="shared" si="1"/>
        <v>3</v>
      </c>
      <c r="AB24" s="61">
        <f t="shared" si="1"/>
        <v>3</v>
      </c>
      <c r="AC24" s="61">
        <f t="shared" si="1"/>
        <v>3</v>
      </c>
      <c r="AD24" s="61">
        <f t="shared" si="1"/>
        <v>3</v>
      </c>
      <c r="AE24" s="61">
        <f t="shared" si="1"/>
        <v>3</v>
      </c>
      <c r="AF24" s="61">
        <f t="shared" si="1"/>
        <v>3</v>
      </c>
      <c r="AG24" s="61">
        <f t="shared" si="1"/>
        <v>3</v>
      </c>
      <c r="AH24" s="62" t="s">
        <v>4</v>
      </c>
      <c r="AI24" s="62" t="s">
        <v>4</v>
      </c>
      <c r="AJ24" s="62" t="s">
        <v>4</v>
      </c>
      <c r="AK24" s="62" t="s">
        <v>4</v>
      </c>
      <c r="AL24" s="62" t="s">
        <v>4</v>
      </c>
      <c r="AM24" s="62" t="s">
        <v>4</v>
      </c>
      <c r="AN24" s="62" t="s">
        <v>4</v>
      </c>
      <c r="AO24" s="62" t="s">
        <v>4</v>
      </c>
      <c r="AP24" s="62" t="s">
        <v>4</v>
      </c>
      <c r="AQ24" s="62" t="s">
        <v>4</v>
      </c>
      <c r="AR24" s="62" t="s">
        <v>4</v>
      </c>
      <c r="AS24" s="62" t="s">
        <v>4</v>
      </c>
      <c r="AT24" s="62" t="s">
        <v>4</v>
      </c>
      <c r="AU24" s="62" t="s">
        <v>4</v>
      </c>
      <c r="AV24" s="62" t="s">
        <v>4</v>
      </c>
      <c r="AW24" s="62" t="s">
        <v>4</v>
      </c>
      <c r="AX24" s="62" t="s">
        <v>4</v>
      </c>
      <c r="AY24" s="62" t="s">
        <v>4</v>
      </c>
      <c r="AZ24" s="62" t="s">
        <v>4</v>
      </c>
      <c r="BA24" s="62" t="s">
        <v>4</v>
      </c>
      <c r="BB24" s="62" t="s">
        <v>4</v>
      </c>
      <c r="BC24" s="62" t="s">
        <v>4</v>
      </c>
      <c r="BD24" s="62" t="s">
        <v>4</v>
      </c>
      <c r="BE24" s="62" t="s">
        <v>4</v>
      </c>
      <c r="BF24" s="62" t="s">
        <v>4</v>
      </c>
      <c r="BG24" s="62" t="s">
        <v>4</v>
      </c>
      <c r="BH24" s="62" t="s">
        <v>4</v>
      </c>
      <c r="BI24" s="62" t="s">
        <v>4</v>
      </c>
      <c r="BJ24" s="62" t="s">
        <v>4</v>
      </c>
      <c r="BK24" s="62" t="s">
        <v>4</v>
      </c>
    </row>
    <row r="25" spans="1:70" ht="34.5" customHeight="1" thickTop="1" x14ac:dyDescent="0.2">
      <c r="A25" s="153" t="s">
        <v>121</v>
      </c>
      <c r="B25" s="154"/>
      <c r="C25" s="63">
        <v>0.3</v>
      </c>
      <c r="D25" s="64">
        <v>5</v>
      </c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>
        <v>3</v>
      </c>
      <c r="Y25" s="65">
        <v>3</v>
      </c>
      <c r="Z25" s="65">
        <v>3</v>
      </c>
      <c r="AA25" s="65">
        <v>3</v>
      </c>
      <c r="AB25" s="65">
        <v>3</v>
      </c>
      <c r="AC25" s="65">
        <v>3</v>
      </c>
      <c r="AD25" s="65">
        <v>3</v>
      </c>
      <c r="AE25" s="65">
        <v>3</v>
      </c>
      <c r="AF25" s="65">
        <v>3</v>
      </c>
      <c r="AG25" s="65">
        <v>3</v>
      </c>
      <c r="AH25" s="65">
        <v>3</v>
      </c>
      <c r="AI25" s="65">
        <v>3</v>
      </c>
      <c r="AJ25" s="65">
        <v>3</v>
      </c>
      <c r="AK25" s="65">
        <v>3</v>
      </c>
      <c r="AL25" s="65">
        <v>3</v>
      </c>
      <c r="AM25" s="65">
        <v>3</v>
      </c>
      <c r="AN25" s="65">
        <v>3</v>
      </c>
      <c r="AO25" s="65">
        <v>3</v>
      </c>
      <c r="AP25" s="65">
        <v>3</v>
      </c>
      <c r="AQ25" s="65">
        <v>3</v>
      </c>
      <c r="AR25" s="65">
        <v>3</v>
      </c>
      <c r="AS25" s="65">
        <v>3</v>
      </c>
      <c r="AT25" s="65">
        <v>3</v>
      </c>
      <c r="AU25" s="65">
        <v>3</v>
      </c>
      <c r="AV25" s="65">
        <v>3</v>
      </c>
      <c r="AW25" s="65">
        <v>3</v>
      </c>
      <c r="AX25" s="65">
        <v>3</v>
      </c>
      <c r="AY25" s="65">
        <v>3</v>
      </c>
      <c r="AZ25" s="65">
        <v>3</v>
      </c>
      <c r="BA25" s="65">
        <v>3</v>
      </c>
      <c r="BB25" s="65">
        <v>3</v>
      </c>
      <c r="BC25" s="65">
        <v>3</v>
      </c>
      <c r="BD25" s="65">
        <v>3</v>
      </c>
      <c r="BE25" s="65">
        <v>3</v>
      </c>
      <c r="BF25" s="65">
        <v>3</v>
      </c>
      <c r="BG25" s="65">
        <v>3</v>
      </c>
      <c r="BH25" s="65">
        <v>3</v>
      </c>
      <c r="BI25" s="65">
        <v>3</v>
      </c>
      <c r="BJ25" s="65">
        <v>3</v>
      </c>
      <c r="BK25" s="65">
        <v>3</v>
      </c>
    </row>
    <row r="26" spans="1:70" ht="51.75" customHeight="1" x14ac:dyDescent="0.2">
      <c r="A26" s="158" t="s">
        <v>122</v>
      </c>
      <c r="B26" s="154"/>
      <c r="C26" s="63">
        <v>0.4</v>
      </c>
      <c r="D26" s="64">
        <v>5</v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>
        <v>3</v>
      </c>
      <c r="Y26" s="65">
        <v>3</v>
      </c>
      <c r="Z26" s="65">
        <v>3</v>
      </c>
      <c r="AA26" s="65">
        <v>3</v>
      </c>
      <c r="AB26" s="65">
        <v>3</v>
      </c>
      <c r="AC26" s="65">
        <v>3</v>
      </c>
      <c r="AD26" s="65">
        <v>3</v>
      </c>
      <c r="AE26" s="65">
        <v>3</v>
      </c>
      <c r="AF26" s="65">
        <v>3</v>
      </c>
      <c r="AG26" s="65">
        <v>3</v>
      </c>
      <c r="AH26" s="65">
        <v>3</v>
      </c>
      <c r="AI26" s="65">
        <v>3</v>
      </c>
      <c r="AJ26" s="65">
        <v>3</v>
      </c>
      <c r="AK26" s="65">
        <v>3</v>
      </c>
      <c r="AL26" s="65">
        <v>3</v>
      </c>
      <c r="AM26" s="65">
        <v>3</v>
      </c>
      <c r="AN26" s="65">
        <v>3</v>
      </c>
      <c r="AO26" s="65">
        <v>3</v>
      </c>
      <c r="AP26" s="65">
        <v>3</v>
      </c>
      <c r="AQ26" s="65">
        <v>3</v>
      </c>
      <c r="AR26" s="65">
        <v>3</v>
      </c>
      <c r="AS26" s="65">
        <v>3</v>
      </c>
      <c r="AT26" s="65">
        <v>3</v>
      </c>
      <c r="AU26" s="65">
        <v>3</v>
      </c>
      <c r="AV26" s="65">
        <v>3</v>
      </c>
      <c r="AW26" s="65">
        <v>3</v>
      </c>
      <c r="AX26" s="65">
        <v>3</v>
      </c>
      <c r="AY26" s="65">
        <v>3</v>
      </c>
      <c r="AZ26" s="65">
        <v>3</v>
      </c>
      <c r="BA26" s="65">
        <v>3</v>
      </c>
      <c r="BB26" s="65">
        <v>3</v>
      </c>
      <c r="BC26" s="65">
        <v>3</v>
      </c>
      <c r="BD26" s="65">
        <v>3</v>
      </c>
      <c r="BE26" s="65">
        <v>3</v>
      </c>
      <c r="BF26" s="65">
        <v>3</v>
      </c>
      <c r="BG26" s="65">
        <v>3</v>
      </c>
      <c r="BH26" s="65">
        <v>3</v>
      </c>
      <c r="BI26" s="65">
        <v>3</v>
      </c>
      <c r="BJ26" s="65">
        <v>3</v>
      </c>
      <c r="BK26" s="65">
        <v>3</v>
      </c>
    </row>
    <row r="27" spans="1:70" ht="24.75" customHeight="1" thickBot="1" x14ac:dyDescent="0.25">
      <c r="A27" s="158" t="s">
        <v>123</v>
      </c>
      <c r="B27" s="154"/>
      <c r="C27" s="63">
        <v>0.3</v>
      </c>
      <c r="D27" s="64">
        <v>5</v>
      </c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>
        <v>3</v>
      </c>
      <c r="Y27" s="65">
        <v>3</v>
      </c>
      <c r="Z27" s="65">
        <v>3</v>
      </c>
      <c r="AA27" s="65">
        <v>3</v>
      </c>
      <c r="AB27" s="65">
        <v>3</v>
      </c>
      <c r="AC27" s="65">
        <v>3</v>
      </c>
      <c r="AD27" s="65">
        <v>3</v>
      </c>
      <c r="AE27" s="65">
        <v>3</v>
      </c>
      <c r="AF27" s="65">
        <v>3</v>
      </c>
      <c r="AG27" s="65">
        <v>3</v>
      </c>
      <c r="AH27" s="65">
        <v>3</v>
      </c>
      <c r="AI27" s="65">
        <v>3</v>
      </c>
      <c r="AJ27" s="65">
        <v>3</v>
      </c>
      <c r="AK27" s="65">
        <v>3</v>
      </c>
      <c r="AL27" s="65">
        <v>3</v>
      </c>
      <c r="AM27" s="65">
        <v>3</v>
      </c>
      <c r="AN27" s="65">
        <v>3</v>
      </c>
      <c r="AO27" s="65">
        <v>3</v>
      </c>
      <c r="AP27" s="65">
        <v>3</v>
      </c>
      <c r="AQ27" s="65">
        <v>3</v>
      </c>
      <c r="AR27" s="65">
        <v>3</v>
      </c>
      <c r="AS27" s="65">
        <v>3</v>
      </c>
      <c r="AT27" s="65">
        <v>3</v>
      </c>
      <c r="AU27" s="65">
        <v>3</v>
      </c>
      <c r="AV27" s="65">
        <v>3</v>
      </c>
      <c r="AW27" s="65">
        <v>3</v>
      </c>
      <c r="AX27" s="65">
        <v>3</v>
      </c>
      <c r="AY27" s="65">
        <v>3</v>
      </c>
      <c r="AZ27" s="65">
        <v>3</v>
      </c>
      <c r="BA27" s="65">
        <v>3</v>
      </c>
      <c r="BB27" s="65">
        <v>3</v>
      </c>
      <c r="BC27" s="65">
        <v>3</v>
      </c>
      <c r="BD27" s="65">
        <v>3</v>
      </c>
      <c r="BE27" s="65">
        <v>3</v>
      </c>
      <c r="BF27" s="65">
        <v>3</v>
      </c>
      <c r="BG27" s="65">
        <v>3</v>
      </c>
      <c r="BH27" s="65">
        <v>3</v>
      </c>
      <c r="BI27" s="65">
        <v>3</v>
      </c>
      <c r="BJ27" s="65">
        <v>3</v>
      </c>
      <c r="BK27" s="65">
        <v>3</v>
      </c>
    </row>
    <row r="28" spans="1:70" ht="31.5" customHeight="1" thickTop="1" thickBot="1" x14ac:dyDescent="0.25">
      <c r="A28" s="156" t="s">
        <v>125</v>
      </c>
      <c r="B28" s="157"/>
      <c r="C28" s="60">
        <v>0.25</v>
      </c>
      <c r="D28" s="61">
        <v>4.4000000000000004</v>
      </c>
      <c r="E28" s="61"/>
      <c r="F28" s="61"/>
      <c r="G28" s="61"/>
      <c r="H28" s="61"/>
      <c r="I28" s="61"/>
      <c r="J28" s="61"/>
      <c r="K28" s="61"/>
      <c r="L28" s="61"/>
      <c r="M28" s="61"/>
      <c r="N28" s="61">
        <f t="shared" ref="N28:AG28" si="2">N29*$C29</f>
        <v>0</v>
      </c>
      <c r="O28" s="61">
        <f t="shared" si="2"/>
        <v>0</v>
      </c>
      <c r="P28" s="61">
        <f t="shared" si="2"/>
        <v>0</v>
      </c>
      <c r="Q28" s="61">
        <f t="shared" si="2"/>
        <v>0</v>
      </c>
      <c r="R28" s="61">
        <f t="shared" si="2"/>
        <v>0</v>
      </c>
      <c r="S28" s="61">
        <f t="shared" si="2"/>
        <v>0</v>
      </c>
      <c r="T28" s="61">
        <f t="shared" si="2"/>
        <v>0</v>
      </c>
      <c r="U28" s="61">
        <f t="shared" si="2"/>
        <v>0</v>
      </c>
      <c r="V28" s="61">
        <f t="shared" si="2"/>
        <v>0</v>
      </c>
      <c r="W28" s="61">
        <f t="shared" si="2"/>
        <v>0</v>
      </c>
      <c r="X28" s="61" t="e">
        <f t="shared" si="2"/>
        <v>#VALUE!</v>
      </c>
      <c r="Y28" s="61" t="e">
        <f t="shared" si="2"/>
        <v>#VALUE!</v>
      </c>
      <c r="Z28" s="61" t="e">
        <f t="shared" si="2"/>
        <v>#VALUE!</v>
      </c>
      <c r="AA28" s="61" t="e">
        <f t="shared" si="2"/>
        <v>#VALUE!</v>
      </c>
      <c r="AB28" s="61" t="e">
        <f t="shared" si="2"/>
        <v>#VALUE!</v>
      </c>
      <c r="AC28" s="61" t="e">
        <f t="shared" si="2"/>
        <v>#VALUE!</v>
      </c>
      <c r="AD28" s="61" t="e">
        <f t="shared" si="2"/>
        <v>#VALUE!</v>
      </c>
      <c r="AE28" s="61" t="e">
        <f t="shared" si="2"/>
        <v>#VALUE!</v>
      </c>
      <c r="AF28" s="61" t="e">
        <f t="shared" si="2"/>
        <v>#VALUE!</v>
      </c>
      <c r="AG28" s="61" t="e">
        <f t="shared" si="2"/>
        <v>#VALUE!</v>
      </c>
      <c r="AH28" s="62" t="s">
        <v>4</v>
      </c>
      <c r="AI28" s="62" t="s">
        <v>4</v>
      </c>
      <c r="AJ28" s="62" t="s">
        <v>4</v>
      </c>
      <c r="AK28" s="62" t="s">
        <v>4</v>
      </c>
      <c r="AL28" s="62" t="s">
        <v>4</v>
      </c>
      <c r="AM28" s="62" t="s">
        <v>4</v>
      </c>
      <c r="AN28" s="62" t="s">
        <v>4</v>
      </c>
      <c r="AO28" s="62" t="s">
        <v>4</v>
      </c>
      <c r="AP28" s="62" t="s">
        <v>4</v>
      </c>
      <c r="AQ28" s="62" t="s">
        <v>4</v>
      </c>
      <c r="AR28" s="62" t="s">
        <v>4</v>
      </c>
      <c r="AS28" s="62" t="s">
        <v>4</v>
      </c>
      <c r="AT28" s="62" t="s">
        <v>4</v>
      </c>
      <c r="AU28" s="62" t="s">
        <v>4</v>
      </c>
      <c r="AV28" s="62" t="s">
        <v>4</v>
      </c>
      <c r="AW28" s="62" t="s">
        <v>4</v>
      </c>
      <c r="AX28" s="62" t="s">
        <v>4</v>
      </c>
      <c r="AY28" s="62" t="s">
        <v>4</v>
      </c>
      <c r="AZ28" s="62" t="s">
        <v>4</v>
      </c>
      <c r="BA28" s="62" t="s">
        <v>4</v>
      </c>
      <c r="BB28" s="62" t="s">
        <v>4</v>
      </c>
      <c r="BC28" s="62" t="s">
        <v>4</v>
      </c>
      <c r="BD28" s="62" t="s">
        <v>4</v>
      </c>
      <c r="BE28" s="62" t="s">
        <v>4</v>
      </c>
      <c r="BF28" s="62" t="s">
        <v>4</v>
      </c>
      <c r="BG28" s="62" t="s">
        <v>4</v>
      </c>
      <c r="BH28" s="62" t="s">
        <v>4</v>
      </c>
      <c r="BI28" s="62" t="s">
        <v>4</v>
      </c>
      <c r="BJ28" s="62" t="s">
        <v>4</v>
      </c>
      <c r="BK28" s="62" t="s">
        <v>4</v>
      </c>
    </row>
    <row r="29" spans="1:70" ht="31.5" customHeight="1" thickTop="1" thickBot="1" x14ac:dyDescent="0.25">
      <c r="A29" s="153" t="s">
        <v>91</v>
      </c>
      <c r="B29" s="154"/>
      <c r="C29" s="63">
        <v>1</v>
      </c>
      <c r="D29" s="64">
        <v>4.4000000000000004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 t="s">
        <v>4</v>
      </c>
      <c r="Y29" s="65" t="s">
        <v>4</v>
      </c>
      <c r="Z29" s="65" t="s">
        <v>4</v>
      </c>
      <c r="AA29" s="65" t="s">
        <v>4</v>
      </c>
      <c r="AB29" s="65" t="s">
        <v>4</v>
      </c>
      <c r="AC29" s="65" t="s">
        <v>4</v>
      </c>
      <c r="AD29" s="65" t="s">
        <v>4</v>
      </c>
      <c r="AE29" s="65" t="s">
        <v>4</v>
      </c>
      <c r="AF29" s="65" t="s">
        <v>4</v>
      </c>
      <c r="AG29" s="65" t="s">
        <v>4</v>
      </c>
      <c r="AH29" s="65" t="s">
        <v>4</v>
      </c>
      <c r="AI29" s="65" t="s">
        <v>4</v>
      </c>
      <c r="AJ29" s="65" t="s">
        <v>4</v>
      </c>
      <c r="AK29" s="65" t="s">
        <v>4</v>
      </c>
      <c r="AL29" s="65" t="s">
        <v>4</v>
      </c>
      <c r="AM29" s="65" t="s">
        <v>4</v>
      </c>
      <c r="AN29" s="65" t="s">
        <v>4</v>
      </c>
      <c r="AO29" s="65" t="s">
        <v>4</v>
      </c>
      <c r="AP29" s="65" t="s">
        <v>4</v>
      </c>
      <c r="AQ29" s="65" t="s">
        <v>4</v>
      </c>
      <c r="AR29" s="65" t="s">
        <v>4</v>
      </c>
      <c r="AS29" s="65" t="s">
        <v>4</v>
      </c>
      <c r="AT29" s="65" t="s">
        <v>4</v>
      </c>
      <c r="AU29" s="65" t="s">
        <v>4</v>
      </c>
      <c r="AV29" s="65" t="s">
        <v>4</v>
      </c>
      <c r="AW29" s="65" t="s">
        <v>4</v>
      </c>
      <c r="AX29" s="65" t="s">
        <v>4</v>
      </c>
      <c r="AY29" s="65" t="s">
        <v>4</v>
      </c>
      <c r="AZ29" s="65" t="s">
        <v>4</v>
      </c>
      <c r="BA29" s="65" t="s">
        <v>4</v>
      </c>
      <c r="BB29" s="65" t="s">
        <v>4</v>
      </c>
      <c r="BC29" s="65" t="s">
        <v>4</v>
      </c>
      <c r="BD29" s="65" t="s">
        <v>4</v>
      </c>
      <c r="BE29" s="65" t="s">
        <v>4</v>
      </c>
      <c r="BF29" s="65" t="s">
        <v>4</v>
      </c>
      <c r="BG29" s="65" t="s">
        <v>4</v>
      </c>
      <c r="BH29" s="65" t="s">
        <v>4</v>
      </c>
      <c r="BI29" s="65" t="s">
        <v>4</v>
      </c>
      <c r="BJ29" s="65" t="s">
        <v>4</v>
      </c>
      <c r="BK29" s="65" t="s">
        <v>4</v>
      </c>
    </row>
    <row r="30" spans="1:70" ht="31.5" customHeight="1" thickTop="1" thickBot="1" x14ac:dyDescent="0.25">
      <c r="A30" s="156" t="s">
        <v>120</v>
      </c>
      <c r="B30" s="157"/>
      <c r="C30" s="60">
        <v>0.5</v>
      </c>
      <c r="D30" s="61">
        <f>SUM(D31*$C31,D34*$C34)</f>
        <v>2</v>
      </c>
      <c r="E30" s="61"/>
      <c r="F30" s="61"/>
      <c r="G30" s="61"/>
      <c r="H30" s="61"/>
      <c r="I30" s="61"/>
      <c r="J30" s="61"/>
      <c r="K30" s="61"/>
      <c r="L30" s="61"/>
      <c r="M30" s="61"/>
      <c r="N30" s="61">
        <f t="shared" ref="N30:W30" si="3">SUM(N31*$C31,N34*$C34)</f>
        <v>0</v>
      </c>
      <c r="O30" s="61">
        <f t="shared" si="3"/>
        <v>0</v>
      </c>
      <c r="P30" s="61">
        <f t="shared" si="3"/>
        <v>0</v>
      </c>
      <c r="Q30" s="61">
        <f t="shared" si="3"/>
        <v>0</v>
      </c>
      <c r="R30" s="61">
        <f t="shared" si="3"/>
        <v>0</v>
      </c>
      <c r="S30" s="61">
        <f t="shared" si="3"/>
        <v>0</v>
      </c>
      <c r="T30" s="61">
        <f t="shared" si="3"/>
        <v>0</v>
      </c>
      <c r="U30" s="61">
        <f t="shared" si="3"/>
        <v>0</v>
      </c>
      <c r="V30" s="61">
        <f t="shared" si="3"/>
        <v>0</v>
      </c>
      <c r="W30" s="61">
        <f t="shared" si="3"/>
        <v>0</v>
      </c>
      <c r="X30" s="62" t="s">
        <v>4</v>
      </c>
      <c r="Y30" s="62" t="s">
        <v>4</v>
      </c>
      <c r="Z30" s="62" t="s">
        <v>4</v>
      </c>
      <c r="AA30" s="62" t="s">
        <v>4</v>
      </c>
      <c r="AB30" s="62" t="s">
        <v>4</v>
      </c>
      <c r="AC30" s="62" t="s">
        <v>4</v>
      </c>
      <c r="AD30" s="62" t="s">
        <v>4</v>
      </c>
      <c r="AE30" s="62" t="s">
        <v>4</v>
      </c>
      <c r="AF30" s="62" t="s">
        <v>4</v>
      </c>
      <c r="AG30" s="62" t="s">
        <v>4</v>
      </c>
      <c r="AH30" s="62" t="s">
        <v>4</v>
      </c>
      <c r="AI30" s="62" t="s">
        <v>4</v>
      </c>
      <c r="AJ30" s="62" t="s">
        <v>4</v>
      </c>
      <c r="AK30" s="62" t="s">
        <v>4</v>
      </c>
      <c r="AL30" s="62" t="s">
        <v>4</v>
      </c>
      <c r="AM30" s="62" t="s">
        <v>4</v>
      </c>
      <c r="AN30" s="62" t="s">
        <v>4</v>
      </c>
      <c r="AO30" s="62" t="s">
        <v>4</v>
      </c>
      <c r="AP30" s="62" t="s">
        <v>4</v>
      </c>
      <c r="AQ30" s="62" t="s">
        <v>4</v>
      </c>
      <c r="AR30" s="62" t="s">
        <v>4</v>
      </c>
      <c r="AS30" s="62" t="s">
        <v>4</v>
      </c>
      <c r="AT30" s="62" t="s">
        <v>4</v>
      </c>
      <c r="AU30" s="62" t="s">
        <v>4</v>
      </c>
      <c r="AV30" s="62" t="s">
        <v>4</v>
      </c>
      <c r="AW30" s="62" t="s">
        <v>4</v>
      </c>
      <c r="AX30" s="62" t="s">
        <v>4</v>
      </c>
      <c r="AY30" s="62" t="s">
        <v>4</v>
      </c>
      <c r="AZ30" s="62" t="s">
        <v>4</v>
      </c>
      <c r="BA30" s="62" t="s">
        <v>4</v>
      </c>
      <c r="BB30" s="62" t="s">
        <v>4</v>
      </c>
      <c r="BC30" s="62" t="s">
        <v>4</v>
      </c>
      <c r="BD30" s="62" t="s">
        <v>4</v>
      </c>
      <c r="BE30" s="62" t="s">
        <v>4</v>
      </c>
      <c r="BF30" s="62" t="s">
        <v>4</v>
      </c>
      <c r="BG30" s="62" t="s">
        <v>4</v>
      </c>
      <c r="BH30" s="62" t="s">
        <v>4</v>
      </c>
      <c r="BI30" s="62" t="s">
        <v>4</v>
      </c>
      <c r="BJ30" s="62" t="s">
        <v>4</v>
      </c>
      <c r="BK30" s="62" t="s">
        <v>4</v>
      </c>
    </row>
    <row r="31" spans="1:70" ht="23.25" customHeight="1" thickTop="1" x14ac:dyDescent="0.2">
      <c r="A31" s="153" t="s">
        <v>92</v>
      </c>
      <c r="B31" s="154"/>
      <c r="C31" s="63">
        <v>0.25</v>
      </c>
      <c r="D31" s="64">
        <v>4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 t="s">
        <v>4</v>
      </c>
      <c r="Y31" s="65" t="s">
        <v>4</v>
      </c>
      <c r="Z31" s="65" t="s">
        <v>4</v>
      </c>
      <c r="AA31" s="65" t="s">
        <v>4</v>
      </c>
      <c r="AB31" s="65" t="s">
        <v>4</v>
      </c>
      <c r="AC31" s="65" t="s">
        <v>4</v>
      </c>
      <c r="AD31" s="65" t="s">
        <v>4</v>
      </c>
      <c r="AE31" s="65" t="s">
        <v>4</v>
      </c>
      <c r="AF31" s="65" t="s">
        <v>4</v>
      </c>
      <c r="AG31" s="65" t="s">
        <v>4</v>
      </c>
      <c r="AH31" s="65" t="s">
        <v>4</v>
      </c>
      <c r="AI31" s="65" t="s">
        <v>4</v>
      </c>
      <c r="AJ31" s="65" t="s">
        <v>4</v>
      </c>
      <c r="AK31" s="65" t="s">
        <v>4</v>
      </c>
      <c r="AL31" s="65" t="s">
        <v>4</v>
      </c>
      <c r="AM31" s="65" t="s">
        <v>4</v>
      </c>
      <c r="AN31" s="65" t="s">
        <v>4</v>
      </c>
      <c r="AO31" s="65" t="s">
        <v>4</v>
      </c>
      <c r="AP31" s="65" t="s">
        <v>4</v>
      </c>
      <c r="AQ31" s="65" t="s">
        <v>4</v>
      </c>
      <c r="AR31" s="65" t="s">
        <v>4</v>
      </c>
      <c r="AS31" s="65" t="s">
        <v>4</v>
      </c>
      <c r="AT31" s="65" t="s">
        <v>4</v>
      </c>
      <c r="AU31" s="65" t="s">
        <v>4</v>
      </c>
      <c r="AV31" s="65" t="s">
        <v>4</v>
      </c>
      <c r="AW31" s="65" t="s">
        <v>4</v>
      </c>
      <c r="AX31" s="65" t="s">
        <v>4</v>
      </c>
      <c r="AY31" s="65" t="s">
        <v>4</v>
      </c>
      <c r="AZ31" s="65" t="s">
        <v>4</v>
      </c>
      <c r="BA31" s="65" t="s">
        <v>4</v>
      </c>
      <c r="BB31" s="65" t="s">
        <v>4</v>
      </c>
      <c r="BC31" s="65" t="s">
        <v>4</v>
      </c>
      <c r="BD31" s="65" t="s">
        <v>4</v>
      </c>
      <c r="BE31" s="65" t="s">
        <v>4</v>
      </c>
      <c r="BF31" s="65" t="s">
        <v>4</v>
      </c>
      <c r="BG31" s="65" t="s">
        <v>4</v>
      </c>
      <c r="BH31" s="65" t="s">
        <v>4</v>
      </c>
      <c r="BI31" s="65" t="s">
        <v>4</v>
      </c>
      <c r="BJ31" s="65" t="s">
        <v>4</v>
      </c>
      <c r="BK31" s="65" t="s">
        <v>4</v>
      </c>
    </row>
    <row r="32" spans="1:70" ht="18.75" customHeight="1" x14ac:dyDescent="0.2">
      <c r="A32" s="153" t="s">
        <v>127</v>
      </c>
      <c r="B32" s="154"/>
      <c r="C32" s="63">
        <v>0.25</v>
      </c>
      <c r="D32" s="64">
        <v>5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 t="s">
        <v>4</v>
      </c>
      <c r="Y32" s="65" t="s">
        <v>4</v>
      </c>
      <c r="Z32" s="65" t="s">
        <v>4</v>
      </c>
      <c r="AA32" s="65" t="s">
        <v>4</v>
      </c>
      <c r="AB32" s="65" t="s">
        <v>4</v>
      </c>
      <c r="AC32" s="65" t="s">
        <v>4</v>
      </c>
      <c r="AD32" s="65" t="s">
        <v>4</v>
      </c>
      <c r="AE32" s="65" t="s">
        <v>4</v>
      </c>
      <c r="AF32" s="65" t="s">
        <v>4</v>
      </c>
      <c r="AG32" s="65" t="s">
        <v>4</v>
      </c>
      <c r="AH32" s="65" t="s">
        <v>4</v>
      </c>
      <c r="AI32" s="65" t="s">
        <v>4</v>
      </c>
      <c r="AJ32" s="65" t="s">
        <v>4</v>
      </c>
      <c r="AK32" s="65" t="s">
        <v>4</v>
      </c>
      <c r="AL32" s="65" t="s">
        <v>4</v>
      </c>
      <c r="AM32" s="65" t="s">
        <v>4</v>
      </c>
      <c r="AN32" s="65" t="s">
        <v>4</v>
      </c>
      <c r="AO32" s="65" t="s">
        <v>4</v>
      </c>
      <c r="AP32" s="65" t="s">
        <v>4</v>
      </c>
      <c r="AQ32" s="65" t="s">
        <v>4</v>
      </c>
      <c r="AR32" s="65" t="s">
        <v>4</v>
      </c>
      <c r="AS32" s="65" t="s">
        <v>4</v>
      </c>
      <c r="AT32" s="65" t="s">
        <v>4</v>
      </c>
      <c r="AU32" s="65" t="s">
        <v>4</v>
      </c>
      <c r="AV32" s="65" t="s">
        <v>4</v>
      </c>
      <c r="AW32" s="65" t="s">
        <v>4</v>
      </c>
      <c r="AX32" s="65" t="s">
        <v>4</v>
      </c>
      <c r="AY32" s="65" t="s">
        <v>4</v>
      </c>
      <c r="AZ32" s="65" t="s">
        <v>4</v>
      </c>
      <c r="BA32" s="65" t="s">
        <v>4</v>
      </c>
      <c r="BB32" s="65" t="s">
        <v>4</v>
      </c>
      <c r="BC32" s="65" t="s">
        <v>4</v>
      </c>
      <c r="BD32" s="65" t="s">
        <v>4</v>
      </c>
      <c r="BE32" s="65" t="s">
        <v>4</v>
      </c>
      <c r="BF32" s="65" t="s">
        <v>4</v>
      </c>
      <c r="BG32" s="65" t="s">
        <v>4</v>
      </c>
      <c r="BH32" s="65" t="s">
        <v>4</v>
      </c>
      <c r="BI32" s="65" t="s">
        <v>4</v>
      </c>
      <c r="BJ32" s="65" t="s">
        <v>4</v>
      </c>
      <c r="BK32" s="65" t="s">
        <v>4</v>
      </c>
    </row>
    <row r="33" spans="1:70" ht="24" customHeight="1" x14ac:dyDescent="0.2">
      <c r="A33" s="153" t="s">
        <v>126</v>
      </c>
      <c r="B33" s="154"/>
      <c r="C33" s="63">
        <v>0.25</v>
      </c>
      <c r="D33" s="64">
        <v>4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</row>
    <row r="34" spans="1:70" ht="21" customHeight="1" thickBot="1" x14ac:dyDescent="0.25">
      <c r="A34" s="153" t="s">
        <v>128</v>
      </c>
      <c r="B34" s="154"/>
      <c r="C34" s="63">
        <v>0.25</v>
      </c>
      <c r="D34" s="64">
        <v>4</v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 t="s">
        <v>4</v>
      </c>
      <c r="Y34" s="65" t="s">
        <v>4</v>
      </c>
      <c r="Z34" s="65" t="s">
        <v>4</v>
      </c>
      <c r="AA34" s="65" t="s">
        <v>4</v>
      </c>
      <c r="AB34" s="65" t="s">
        <v>4</v>
      </c>
      <c r="AC34" s="65" t="s">
        <v>4</v>
      </c>
      <c r="AD34" s="65" t="s">
        <v>4</v>
      </c>
      <c r="AE34" s="65" t="s">
        <v>4</v>
      </c>
      <c r="AF34" s="65" t="s">
        <v>4</v>
      </c>
      <c r="AG34" s="65" t="s">
        <v>4</v>
      </c>
      <c r="AH34" s="65" t="s">
        <v>4</v>
      </c>
      <c r="AI34" s="65" t="s">
        <v>4</v>
      </c>
      <c r="AJ34" s="65" t="s">
        <v>4</v>
      </c>
      <c r="AK34" s="65" t="s">
        <v>4</v>
      </c>
      <c r="AL34" s="65" t="s">
        <v>4</v>
      </c>
      <c r="AM34" s="65" t="s">
        <v>4</v>
      </c>
      <c r="AN34" s="65" t="s">
        <v>4</v>
      </c>
      <c r="AO34" s="65" t="s">
        <v>4</v>
      </c>
      <c r="AP34" s="65" t="s">
        <v>4</v>
      </c>
      <c r="AQ34" s="65" t="s">
        <v>4</v>
      </c>
      <c r="AR34" s="65" t="s">
        <v>4</v>
      </c>
      <c r="AS34" s="65" t="s">
        <v>4</v>
      </c>
      <c r="AT34" s="65" t="s">
        <v>4</v>
      </c>
      <c r="AU34" s="65" t="s">
        <v>4</v>
      </c>
      <c r="AV34" s="65" t="s">
        <v>4</v>
      </c>
      <c r="AW34" s="65" t="s">
        <v>4</v>
      </c>
      <c r="AX34" s="65" t="s">
        <v>4</v>
      </c>
      <c r="AY34" s="65" t="s">
        <v>4</v>
      </c>
      <c r="AZ34" s="65" t="s">
        <v>4</v>
      </c>
      <c r="BA34" s="65" t="s">
        <v>4</v>
      </c>
      <c r="BB34" s="65" t="s">
        <v>4</v>
      </c>
      <c r="BC34" s="65" t="s">
        <v>4</v>
      </c>
      <c r="BD34" s="65" t="s">
        <v>4</v>
      </c>
      <c r="BE34" s="65" t="s">
        <v>4</v>
      </c>
      <c r="BF34" s="65" t="s">
        <v>4</v>
      </c>
      <c r="BG34" s="65" t="s">
        <v>4</v>
      </c>
      <c r="BH34" s="65" t="s">
        <v>4</v>
      </c>
      <c r="BI34" s="65" t="s">
        <v>4</v>
      </c>
      <c r="BJ34" s="65" t="s">
        <v>4</v>
      </c>
      <c r="BK34" s="65" t="s">
        <v>4</v>
      </c>
    </row>
    <row r="35" spans="1:70" ht="31.5" customHeight="1" thickTop="1" thickBot="1" x14ac:dyDescent="0.25">
      <c r="A35" s="141" t="s">
        <v>93</v>
      </c>
      <c r="B35" s="142"/>
      <c r="C35" s="66">
        <v>0.15</v>
      </c>
      <c r="D35" s="67">
        <f>D23*$C35</f>
        <v>0.50249999999999995</v>
      </c>
      <c r="E35" s="67"/>
      <c r="F35" s="67"/>
      <c r="G35" s="67"/>
      <c r="H35" s="67"/>
      <c r="I35" s="67"/>
      <c r="J35" s="67"/>
      <c r="K35" s="67">
        <f t="shared" ref="K35:AI35" si="4">K23*$C35</f>
        <v>0</v>
      </c>
      <c r="L35" s="67">
        <f t="shared" si="4"/>
        <v>0</v>
      </c>
      <c r="M35" s="67">
        <f t="shared" si="4"/>
        <v>0</v>
      </c>
      <c r="N35" s="67">
        <f t="shared" si="4"/>
        <v>0</v>
      </c>
      <c r="O35" s="67">
        <f t="shared" si="4"/>
        <v>0</v>
      </c>
      <c r="P35" s="67">
        <f t="shared" si="4"/>
        <v>0</v>
      </c>
      <c r="Q35" s="67">
        <f t="shared" si="4"/>
        <v>0</v>
      </c>
      <c r="R35" s="67">
        <f t="shared" si="4"/>
        <v>0</v>
      </c>
      <c r="S35" s="67">
        <f t="shared" si="4"/>
        <v>0</v>
      </c>
      <c r="T35" s="67">
        <f t="shared" si="4"/>
        <v>0</v>
      </c>
      <c r="U35" s="67">
        <f t="shared" si="4"/>
        <v>0</v>
      </c>
      <c r="V35" s="67">
        <f t="shared" si="4"/>
        <v>0</v>
      </c>
      <c r="W35" s="67">
        <f t="shared" si="4"/>
        <v>0</v>
      </c>
      <c r="X35" s="67" t="e">
        <f t="shared" si="4"/>
        <v>#VALUE!</v>
      </c>
      <c r="Y35" s="67" t="e">
        <f t="shared" si="4"/>
        <v>#VALUE!</v>
      </c>
      <c r="Z35" s="67" t="e">
        <f t="shared" si="4"/>
        <v>#VALUE!</v>
      </c>
      <c r="AA35" s="67" t="e">
        <f t="shared" si="4"/>
        <v>#VALUE!</v>
      </c>
      <c r="AB35" s="67" t="e">
        <f t="shared" si="4"/>
        <v>#VALUE!</v>
      </c>
      <c r="AC35" s="67" t="e">
        <f t="shared" si="4"/>
        <v>#VALUE!</v>
      </c>
      <c r="AD35" s="67" t="e">
        <f t="shared" si="4"/>
        <v>#VALUE!</v>
      </c>
      <c r="AE35" s="67" t="e">
        <f t="shared" si="4"/>
        <v>#VALUE!</v>
      </c>
      <c r="AF35" s="67" t="e">
        <f t="shared" si="4"/>
        <v>#VALUE!</v>
      </c>
      <c r="AG35" s="67" t="e">
        <f t="shared" si="4"/>
        <v>#VALUE!</v>
      </c>
      <c r="AH35" s="67" t="e">
        <f t="shared" si="4"/>
        <v>#VALUE!</v>
      </c>
      <c r="AI35" s="67" t="e">
        <f t="shared" si="4"/>
        <v>#VALUE!</v>
      </c>
      <c r="AJ35" s="67" t="e">
        <f t="shared" ref="AJ35:BK35" si="5">AJ23*$C35</f>
        <v>#VALUE!</v>
      </c>
      <c r="AK35" s="67" t="e">
        <f t="shared" si="5"/>
        <v>#VALUE!</v>
      </c>
      <c r="AL35" s="67" t="e">
        <f t="shared" si="5"/>
        <v>#VALUE!</v>
      </c>
      <c r="AM35" s="67" t="e">
        <f t="shared" si="5"/>
        <v>#VALUE!</v>
      </c>
      <c r="AN35" s="67" t="e">
        <f t="shared" si="5"/>
        <v>#VALUE!</v>
      </c>
      <c r="AO35" s="67" t="e">
        <f t="shared" si="5"/>
        <v>#VALUE!</v>
      </c>
      <c r="AP35" s="67" t="e">
        <f t="shared" si="5"/>
        <v>#VALUE!</v>
      </c>
      <c r="AQ35" s="67" t="e">
        <f t="shared" si="5"/>
        <v>#VALUE!</v>
      </c>
      <c r="AR35" s="67" t="e">
        <f t="shared" si="5"/>
        <v>#VALUE!</v>
      </c>
      <c r="AS35" s="67" t="e">
        <f t="shared" si="5"/>
        <v>#VALUE!</v>
      </c>
      <c r="AT35" s="67" t="e">
        <f t="shared" si="5"/>
        <v>#VALUE!</v>
      </c>
      <c r="AU35" s="67" t="e">
        <f t="shared" si="5"/>
        <v>#VALUE!</v>
      </c>
      <c r="AV35" s="67" t="e">
        <f t="shared" si="5"/>
        <v>#VALUE!</v>
      </c>
      <c r="AW35" s="67" t="e">
        <f t="shared" si="5"/>
        <v>#VALUE!</v>
      </c>
      <c r="AX35" s="67" t="e">
        <f t="shared" si="5"/>
        <v>#VALUE!</v>
      </c>
      <c r="AY35" s="67" t="e">
        <f t="shared" si="5"/>
        <v>#VALUE!</v>
      </c>
      <c r="AZ35" s="67" t="e">
        <f t="shared" si="5"/>
        <v>#VALUE!</v>
      </c>
      <c r="BA35" s="67" t="e">
        <f t="shared" si="5"/>
        <v>#VALUE!</v>
      </c>
      <c r="BB35" s="67" t="e">
        <f t="shared" si="5"/>
        <v>#VALUE!</v>
      </c>
      <c r="BC35" s="67" t="e">
        <f t="shared" si="5"/>
        <v>#VALUE!</v>
      </c>
      <c r="BD35" s="67" t="e">
        <f t="shared" si="5"/>
        <v>#VALUE!</v>
      </c>
      <c r="BE35" s="67" t="e">
        <f t="shared" si="5"/>
        <v>#VALUE!</v>
      </c>
      <c r="BF35" s="67" t="e">
        <f t="shared" si="5"/>
        <v>#VALUE!</v>
      </c>
      <c r="BG35" s="67" t="e">
        <f t="shared" si="5"/>
        <v>#VALUE!</v>
      </c>
      <c r="BH35" s="67" t="e">
        <f t="shared" si="5"/>
        <v>#VALUE!</v>
      </c>
      <c r="BI35" s="67" t="e">
        <f t="shared" si="5"/>
        <v>#VALUE!</v>
      </c>
      <c r="BJ35" s="67" t="e">
        <f t="shared" si="5"/>
        <v>#VALUE!</v>
      </c>
      <c r="BK35" s="67" t="e">
        <f t="shared" si="5"/>
        <v>#VALUE!</v>
      </c>
    </row>
    <row r="36" spans="1:70" ht="31.5" customHeight="1" thickTop="1" x14ac:dyDescent="0.2">
      <c r="A36" s="151" t="s">
        <v>132</v>
      </c>
      <c r="B36" s="152"/>
      <c r="C36" s="57">
        <v>0.1</v>
      </c>
      <c r="D36" s="58">
        <v>5</v>
      </c>
      <c r="E36" s="58"/>
      <c r="F36" s="58"/>
      <c r="G36" s="58"/>
      <c r="H36" s="58"/>
      <c r="I36" s="58"/>
      <c r="J36" s="58"/>
      <c r="K36" s="58"/>
      <c r="L36" s="58"/>
      <c r="M36" s="58"/>
      <c r="N36" s="58">
        <f t="shared" ref="N36:BK36" si="6">N37*$C37</f>
        <v>0</v>
      </c>
      <c r="O36" s="58">
        <f t="shared" si="6"/>
        <v>0</v>
      </c>
      <c r="P36" s="58">
        <f t="shared" si="6"/>
        <v>0</v>
      </c>
      <c r="Q36" s="58">
        <f t="shared" si="6"/>
        <v>0</v>
      </c>
      <c r="R36" s="58">
        <f t="shared" si="6"/>
        <v>0</v>
      </c>
      <c r="S36" s="58">
        <f t="shared" si="6"/>
        <v>0</v>
      </c>
      <c r="T36" s="58">
        <f t="shared" si="6"/>
        <v>0</v>
      </c>
      <c r="U36" s="58">
        <f t="shared" si="6"/>
        <v>0</v>
      </c>
      <c r="V36" s="58">
        <f t="shared" si="6"/>
        <v>0</v>
      </c>
      <c r="W36" s="58">
        <f t="shared" si="6"/>
        <v>0</v>
      </c>
      <c r="X36" s="58">
        <f t="shared" si="6"/>
        <v>3</v>
      </c>
      <c r="Y36" s="58">
        <f t="shared" si="6"/>
        <v>3</v>
      </c>
      <c r="Z36" s="58">
        <f t="shared" si="6"/>
        <v>3</v>
      </c>
      <c r="AA36" s="58">
        <f t="shared" si="6"/>
        <v>3</v>
      </c>
      <c r="AB36" s="58">
        <f t="shared" si="6"/>
        <v>3</v>
      </c>
      <c r="AC36" s="58">
        <f t="shared" si="6"/>
        <v>3</v>
      </c>
      <c r="AD36" s="58">
        <f t="shared" si="6"/>
        <v>3</v>
      </c>
      <c r="AE36" s="58">
        <f t="shared" si="6"/>
        <v>3</v>
      </c>
      <c r="AF36" s="58">
        <f t="shared" si="6"/>
        <v>3</v>
      </c>
      <c r="AG36" s="58">
        <f t="shared" si="6"/>
        <v>3</v>
      </c>
      <c r="AH36" s="58">
        <f t="shared" si="6"/>
        <v>3</v>
      </c>
      <c r="AI36" s="58">
        <f t="shared" si="6"/>
        <v>3</v>
      </c>
      <c r="AJ36" s="58">
        <f t="shared" si="6"/>
        <v>3</v>
      </c>
      <c r="AK36" s="58">
        <f t="shared" si="6"/>
        <v>3</v>
      </c>
      <c r="AL36" s="58">
        <f t="shared" si="6"/>
        <v>3</v>
      </c>
      <c r="AM36" s="58">
        <f t="shared" si="6"/>
        <v>3</v>
      </c>
      <c r="AN36" s="58">
        <f t="shared" si="6"/>
        <v>3</v>
      </c>
      <c r="AO36" s="58">
        <f t="shared" si="6"/>
        <v>3</v>
      </c>
      <c r="AP36" s="58">
        <f t="shared" si="6"/>
        <v>3</v>
      </c>
      <c r="AQ36" s="58">
        <f t="shared" si="6"/>
        <v>3</v>
      </c>
      <c r="AR36" s="58">
        <f t="shared" si="6"/>
        <v>3</v>
      </c>
      <c r="AS36" s="58">
        <f t="shared" si="6"/>
        <v>3</v>
      </c>
      <c r="AT36" s="58">
        <f t="shared" si="6"/>
        <v>3</v>
      </c>
      <c r="AU36" s="58">
        <f t="shared" si="6"/>
        <v>3</v>
      </c>
      <c r="AV36" s="58">
        <f t="shared" si="6"/>
        <v>3</v>
      </c>
      <c r="AW36" s="58">
        <f t="shared" si="6"/>
        <v>3</v>
      </c>
      <c r="AX36" s="58">
        <f t="shared" si="6"/>
        <v>3</v>
      </c>
      <c r="AY36" s="58">
        <f t="shared" si="6"/>
        <v>3</v>
      </c>
      <c r="AZ36" s="58">
        <f t="shared" si="6"/>
        <v>3</v>
      </c>
      <c r="BA36" s="58">
        <f t="shared" si="6"/>
        <v>3</v>
      </c>
      <c r="BB36" s="58">
        <f t="shared" si="6"/>
        <v>3</v>
      </c>
      <c r="BC36" s="58">
        <f t="shared" si="6"/>
        <v>3</v>
      </c>
      <c r="BD36" s="58">
        <f t="shared" si="6"/>
        <v>3</v>
      </c>
      <c r="BE36" s="58">
        <f t="shared" si="6"/>
        <v>3</v>
      </c>
      <c r="BF36" s="58">
        <f t="shared" si="6"/>
        <v>3</v>
      </c>
      <c r="BG36" s="58">
        <f t="shared" si="6"/>
        <v>3</v>
      </c>
      <c r="BH36" s="58">
        <f t="shared" si="6"/>
        <v>3</v>
      </c>
      <c r="BI36" s="58">
        <f t="shared" si="6"/>
        <v>3</v>
      </c>
      <c r="BJ36" s="58">
        <f t="shared" si="6"/>
        <v>3</v>
      </c>
      <c r="BK36" s="58">
        <f t="shared" si="6"/>
        <v>3</v>
      </c>
    </row>
    <row r="37" spans="1:70" ht="31.5" customHeight="1" thickBot="1" x14ac:dyDescent="0.25">
      <c r="A37" s="153" t="s">
        <v>94</v>
      </c>
      <c r="B37" s="154"/>
      <c r="C37" s="63">
        <v>1</v>
      </c>
      <c r="D37" s="64">
        <v>5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>
        <v>3</v>
      </c>
      <c r="Y37" s="65">
        <v>3</v>
      </c>
      <c r="Z37" s="65">
        <v>3</v>
      </c>
      <c r="AA37" s="65">
        <v>3</v>
      </c>
      <c r="AB37" s="65">
        <v>3</v>
      </c>
      <c r="AC37" s="65">
        <v>3</v>
      </c>
      <c r="AD37" s="65">
        <v>3</v>
      </c>
      <c r="AE37" s="65">
        <v>3</v>
      </c>
      <c r="AF37" s="65">
        <v>3</v>
      </c>
      <c r="AG37" s="65">
        <v>3</v>
      </c>
      <c r="AH37" s="65">
        <v>3</v>
      </c>
      <c r="AI37" s="65">
        <v>3</v>
      </c>
      <c r="AJ37" s="65">
        <v>3</v>
      </c>
      <c r="AK37" s="65">
        <v>3</v>
      </c>
      <c r="AL37" s="65">
        <v>3</v>
      </c>
      <c r="AM37" s="65">
        <v>3</v>
      </c>
      <c r="AN37" s="65">
        <v>3</v>
      </c>
      <c r="AO37" s="65">
        <v>3</v>
      </c>
      <c r="AP37" s="65">
        <v>3</v>
      </c>
      <c r="AQ37" s="65">
        <v>3</v>
      </c>
      <c r="AR37" s="65">
        <v>3</v>
      </c>
      <c r="AS37" s="65">
        <v>3</v>
      </c>
      <c r="AT37" s="65">
        <v>3</v>
      </c>
      <c r="AU37" s="65">
        <v>3</v>
      </c>
      <c r="AV37" s="65">
        <v>3</v>
      </c>
      <c r="AW37" s="65">
        <v>3</v>
      </c>
      <c r="AX37" s="65">
        <v>3</v>
      </c>
      <c r="AY37" s="65">
        <v>3</v>
      </c>
      <c r="AZ37" s="65">
        <v>3</v>
      </c>
      <c r="BA37" s="65">
        <v>3</v>
      </c>
      <c r="BB37" s="65">
        <v>3</v>
      </c>
      <c r="BC37" s="65">
        <v>3</v>
      </c>
      <c r="BD37" s="65">
        <v>3</v>
      </c>
      <c r="BE37" s="65">
        <v>3</v>
      </c>
      <c r="BF37" s="65">
        <v>3</v>
      </c>
      <c r="BG37" s="65">
        <v>3</v>
      </c>
      <c r="BH37" s="65">
        <v>3</v>
      </c>
      <c r="BI37" s="65">
        <v>3</v>
      </c>
      <c r="BJ37" s="65">
        <v>3</v>
      </c>
      <c r="BK37" s="65">
        <v>3</v>
      </c>
    </row>
    <row r="38" spans="1:70" ht="31.5" customHeight="1" thickTop="1" thickBot="1" x14ac:dyDescent="0.25">
      <c r="A38" s="141" t="s">
        <v>93</v>
      </c>
      <c r="B38" s="142"/>
      <c r="C38" s="66">
        <v>0.1</v>
      </c>
      <c r="D38" s="67">
        <f>D36*$C38</f>
        <v>0.5</v>
      </c>
      <c r="E38" s="67"/>
      <c r="F38" s="67"/>
      <c r="G38" s="67"/>
      <c r="H38" s="67"/>
      <c r="I38" s="67"/>
      <c r="J38" s="67"/>
      <c r="K38" s="67">
        <f t="shared" ref="K38:W38" si="7">K36*$C38</f>
        <v>0</v>
      </c>
      <c r="L38" s="67">
        <f t="shared" si="7"/>
        <v>0</v>
      </c>
      <c r="M38" s="67">
        <f t="shared" si="7"/>
        <v>0</v>
      </c>
      <c r="N38" s="67">
        <f t="shared" si="7"/>
        <v>0</v>
      </c>
      <c r="O38" s="67">
        <f t="shared" si="7"/>
        <v>0</v>
      </c>
      <c r="P38" s="67">
        <f t="shared" si="7"/>
        <v>0</v>
      </c>
      <c r="Q38" s="67">
        <f t="shared" si="7"/>
        <v>0</v>
      </c>
      <c r="R38" s="67">
        <f t="shared" si="7"/>
        <v>0</v>
      </c>
      <c r="S38" s="67">
        <f t="shared" si="7"/>
        <v>0</v>
      </c>
      <c r="T38" s="67">
        <f t="shared" si="7"/>
        <v>0</v>
      </c>
      <c r="U38" s="67">
        <f t="shared" si="7"/>
        <v>0</v>
      </c>
      <c r="V38" s="67">
        <f t="shared" si="7"/>
        <v>0</v>
      </c>
      <c r="W38" s="67">
        <f t="shared" si="7"/>
        <v>0</v>
      </c>
      <c r="X38" s="68" t="s">
        <v>4</v>
      </c>
      <c r="Y38" s="68" t="s">
        <v>4</v>
      </c>
      <c r="Z38" s="68" t="s">
        <v>4</v>
      </c>
      <c r="AA38" s="68" t="s">
        <v>4</v>
      </c>
      <c r="AB38" s="68" t="s">
        <v>4</v>
      </c>
      <c r="AC38" s="68" t="s">
        <v>4</v>
      </c>
      <c r="AD38" s="68" t="s">
        <v>4</v>
      </c>
      <c r="AE38" s="68" t="s">
        <v>4</v>
      </c>
      <c r="AF38" s="68" t="s">
        <v>4</v>
      </c>
      <c r="AG38" s="68" t="s">
        <v>4</v>
      </c>
      <c r="AH38" s="68" t="s">
        <v>4</v>
      </c>
      <c r="AI38" s="68" t="s">
        <v>4</v>
      </c>
      <c r="AJ38" s="68" t="s">
        <v>4</v>
      </c>
      <c r="AK38" s="68" t="s">
        <v>4</v>
      </c>
      <c r="AL38" s="68" t="s">
        <v>4</v>
      </c>
      <c r="AM38" s="68" t="s">
        <v>4</v>
      </c>
      <c r="AN38" s="68" t="s">
        <v>4</v>
      </c>
      <c r="AO38" s="68" t="s">
        <v>4</v>
      </c>
      <c r="AP38" s="68" t="s">
        <v>4</v>
      </c>
      <c r="AQ38" s="68" t="s">
        <v>4</v>
      </c>
      <c r="AR38" s="68" t="s">
        <v>4</v>
      </c>
      <c r="AS38" s="68" t="s">
        <v>4</v>
      </c>
      <c r="AT38" s="68" t="s">
        <v>4</v>
      </c>
      <c r="AU38" s="68" t="s">
        <v>4</v>
      </c>
      <c r="AV38" s="68" t="s">
        <v>4</v>
      </c>
      <c r="AW38" s="68" t="s">
        <v>4</v>
      </c>
      <c r="AX38" s="68" t="s">
        <v>4</v>
      </c>
      <c r="AY38" s="68" t="s">
        <v>4</v>
      </c>
      <c r="AZ38" s="68" t="s">
        <v>4</v>
      </c>
      <c r="BA38" s="68" t="s">
        <v>4</v>
      </c>
      <c r="BB38" s="68" t="s">
        <v>4</v>
      </c>
      <c r="BC38" s="68" t="s">
        <v>4</v>
      </c>
      <c r="BD38" s="68" t="s">
        <v>4</v>
      </c>
      <c r="BE38" s="68" t="s">
        <v>4</v>
      </c>
      <c r="BF38" s="68" t="s">
        <v>4</v>
      </c>
      <c r="BG38" s="68" t="s">
        <v>4</v>
      </c>
      <c r="BH38" s="68" t="s">
        <v>4</v>
      </c>
      <c r="BI38" s="68" t="s">
        <v>4</v>
      </c>
      <c r="BJ38" s="68" t="s">
        <v>4</v>
      </c>
      <c r="BK38" s="68" t="s">
        <v>4</v>
      </c>
    </row>
    <row r="39" spans="1:70" ht="31.5" customHeight="1" thickTop="1" x14ac:dyDescent="0.2">
      <c r="A39" s="151" t="s">
        <v>129</v>
      </c>
      <c r="B39" s="152"/>
      <c r="C39" s="57">
        <v>0.25</v>
      </c>
      <c r="D39" s="58">
        <f t="shared" ref="D39:W39" si="8">SUM(D40*$C40,D41*$C41,D42*$C42)</f>
        <v>4</v>
      </c>
      <c r="E39" s="58"/>
      <c r="F39" s="58"/>
      <c r="G39" s="58"/>
      <c r="H39" s="58"/>
      <c r="I39" s="58"/>
      <c r="J39" s="58"/>
      <c r="K39" s="58"/>
      <c r="L39" s="58"/>
      <c r="M39" s="58"/>
      <c r="N39" s="58">
        <f t="shared" si="8"/>
        <v>0</v>
      </c>
      <c r="O39" s="58">
        <f t="shared" si="8"/>
        <v>0</v>
      </c>
      <c r="P39" s="58">
        <f t="shared" si="8"/>
        <v>0</v>
      </c>
      <c r="Q39" s="58">
        <f t="shared" si="8"/>
        <v>0</v>
      </c>
      <c r="R39" s="58">
        <f t="shared" si="8"/>
        <v>0</v>
      </c>
      <c r="S39" s="58">
        <f t="shared" si="8"/>
        <v>0</v>
      </c>
      <c r="T39" s="58">
        <f t="shared" si="8"/>
        <v>0</v>
      </c>
      <c r="U39" s="58">
        <f t="shared" si="8"/>
        <v>0</v>
      </c>
      <c r="V39" s="58">
        <f t="shared" si="8"/>
        <v>0</v>
      </c>
      <c r="W39" s="58">
        <f t="shared" si="8"/>
        <v>0</v>
      </c>
      <c r="X39" s="58" t="e">
        <f t="shared" ref="X39:BK39" si="9">SUM(X40*W40,X41*W41,X42*W42)</f>
        <v>#VALUE!</v>
      </c>
      <c r="Y39" s="58" t="e">
        <f t="shared" si="9"/>
        <v>#VALUE!</v>
      </c>
      <c r="Z39" s="58" t="e">
        <f t="shared" si="9"/>
        <v>#VALUE!</v>
      </c>
      <c r="AA39" s="58" t="e">
        <f t="shared" si="9"/>
        <v>#VALUE!</v>
      </c>
      <c r="AB39" s="58" t="e">
        <f t="shared" si="9"/>
        <v>#VALUE!</v>
      </c>
      <c r="AC39" s="58" t="e">
        <f t="shared" si="9"/>
        <v>#VALUE!</v>
      </c>
      <c r="AD39" s="58" t="e">
        <f t="shared" si="9"/>
        <v>#VALUE!</v>
      </c>
      <c r="AE39" s="58" t="e">
        <f t="shared" si="9"/>
        <v>#VALUE!</v>
      </c>
      <c r="AF39" s="58" t="e">
        <f t="shared" si="9"/>
        <v>#VALUE!</v>
      </c>
      <c r="AG39" s="58" t="e">
        <f t="shared" si="9"/>
        <v>#VALUE!</v>
      </c>
      <c r="AH39" s="58" t="e">
        <f t="shared" si="9"/>
        <v>#VALUE!</v>
      </c>
      <c r="AI39" s="58" t="e">
        <f t="shared" si="9"/>
        <v>#VALUE!</v>
      </c>
      <c r="AJ39" s="58" t="e">
        <f t="shared" si="9"/>
        <v>#VALUE!</v>
      </c>
      <c r="AK39" s="58" t="e">
        <f t="shared" si="9"/>
        <v>#VALUE!</v>
      </c>
      <c r="AL39" s="58" t="e">
        <f t="shared" si="9"/>
        <v>#VALUE!</v>
      </c>
      <c r="AM39" s="58" t="e">
        <f t="shared" si="9"/>
        <v>#VALUE!</v>
      </c>
      <c r="AN39" s="58" t="e">
        <f t="shared" si="9"/>
        <v>#VALUE!</v>
      </c>
      <c r="AO39" s="58" t="e">
        <f t="shared" si="9"/>
        <v>#VALUE!</v>
      </c>
      <c r="AP39" s="58" t="e">
        <f t="shared" si="9"/>
        <v>#VALUE!</v>
      </c>
      <c r="AQ39" s="58" t="e">
        <f t="shared" si="9"/>
        <v>#VALUE!</v>
      </c>
      <c r="AR39" s="58" t="e">
        <f t="shared" si="9"/>
        <v>#VALUE!</v>
      </c>
      <c r="AS39" s="58" t="e">
        <f t="shared" si="9"/>
        <v>#VALUE!</v>
      </c>
      <c r="AT39" s="58" t="e">
        <f t="shared" si="9"/>
        <v>#VALUE!</v>
      </c>
      <c r="AU39" s="58" t="e">
        <f t="shared" si="9"/>
        <v>#VALUE!</v>
      </c>
      <c r="AV39" s="58" t="e">
        <f t="shared" si="9"/>
        <v>#VALUE!</v>
      </c>
      <c r="AW39" s="58" t="e">
        <f t="shared" si="9"/>
        <v>#VALUE!</v>
      </c>
      <c r="AX39" s="58" t="e">
        <f t="shared" si="9"/>
        <v>#VALUE!</v>
      </c>
      <c r="AY39" s="58" t="e">
        <f t="shared" si="9"/>
        <v>#VALUE!</v>
      </c>
      <c r="AZ39" s="58" t="e">
        <f t="shared" si="9"/>
        <v>#VALUE!</v>
      </c>
      <c r="BA39" s="58" t="e">
        <f t="shared" si="9"/>
        <v>#VALUE!</v>
      </c>
      <c r="BB39" s="58" t="e">
        <f t="shared" si="9"/>
        <v>#VALUE!</v>
      </c>
      <c r="BC39" s="58" t="e">
        <f t="shared" si="9"/>
        <v>#VALUE!</v>
      </c>
      <c r="BD39" s="58" t="e">
        <f t="shared" si="9"/>
        <v>#VALUE!</v>
      </c>
      <c r="BE39" s="58" t="e">
        <f t="shared" si="9"/>
        <v>#VALUE!</v>
      </c>
      <c r="BF39" s="58" t="e">
        <f t="shared" si="9"/>
        <v>#VALUE!</v>
      </c>
      <c r="BG39" s="58" t="e">
        <f t="shared" si="9"/>
        <v>#VALUE!</v>
      </c>
      <c r="BH39" s="58" t="e">
        <f t="shared" si="9"/>
        <v>#VALUE!</v>
      </c>
      <c r="BI39" s="58" t="e">
        <f t="shared" si="9"/>
        <v>#VALUE!</v>
      </c>
      <c r="BJ39" s="58" t="e">
        <f t="shared" si="9"/>
        <v>#VALUE!</v>
      </c>
      <c r="BK39" s="58" t="e">
        <f t="shared" si="9"/>
        <v>#VALUE!</v>
      </c>
    </row>
    <row r="40" spans="1:70" ht="31.5" customHeight="1" x14ac:dyDescent="0.2">
      <c r="A40" s="153" t="s">
        <v>130</v>
      </c>
      <c r="B40" s="154"/>
      <c r="C40" s="63">
        <v>0.33329999999999999</v>
      </c>
      <c r="D40" s="64">
        <v>4</v>
      </c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 t="s">
        <v>4</v>
      </c>
      <c r="Y40" s="65" t="s">
        <v>4</v>
      </c>
      <c r="Z40" s="65" t="s">
        <v>4</v>
      </c>
      <c r="AA40" s="65" t="s">
        <v>4</v>
      </c>
      <c r="AB40" s="65" t="s">
        <v>4</v>
      </c>
      <c r="AC40" s="65" t="s">
        <v>4</v>
      </c>
      <c r="AD40" s="65" t="s">
        <v>4</v>
      </c>
      <c r="AE40" s="65" t="s">
        <v>4</v>
      </c>
      <c r="AF40" s="65" t="s">
        <v>4</v>
      </c>
      <c r="AG40" s="65" t="s">
        <v>4</v>
      </c>
      <c r="AH40" s="65" t="s">
        <v>4</v>
      </c>
      <c r="AI40" s="65" t="s">
        <v>4</v>
      </c>
      <c r="AJ40" s="65" t="s">
        <v>4</v>
      </c>
      <c r="AK40" s="65" t="s">
        <v>4</v>
      </c>
      <c r="AL40" s="65" t="s">
        <v>4</v>
      </c>
      <c r="AM40" s="65" t="s">
        <v>4</v>
      </c>
      <c r="AN40" s="65" t="s">
        <v>4</v>
      </c>
      <c r="AO40" s="65" t="s">
        <v>4</v>
      </c>
      <c r="AP40" s="65" t="s">
        <v>4</v>
      </c>
      <c r="AQ40" s="65" t="s">
        <v>4</v>
      </c>
      <c r="AR40" s="65" t="s">
        <v>4</v>
      </c>
      <c r="AS40" s="65" t="s">
        <v>4</v>
      </c>
      <c r="AT40" s="65" t="s">
        <v>4</v>
      </c>
      <c r="AU40" s="65" t="s">
        <v>4</v>
      </c>
      <c r="AV40" s="65" t="s">
        <v>4</v>
      </c>
      <c r="AW40" s="65" t="s">
        <v>4</v>
      </c>
      <c r="AX40" s="65" t="s">
        <v>4</v>
      </c>
      <c r="AY40" s="65" t="s">
        <v>4</v>
      </c>
      <c r="AZ40" s="65" t="s">
        <v>4</v>
      </c>
      <c r="BA40" s="65" t="s">
        <v>4</v>
      </c>
      <c r="BB40" s="65" t="s">
        <v>4</v>
      </c>
      <c r="BC40" s="65" t="s">
        <v>4</v>
      </c>
      <c r="BD40" s="65" t="s">
        <v>4</v>
      </c>
      <c r="BE40" s="65" t="s">
        <v>4</v>
      </c>
      <c r="BF40" s="65" t="s">
        <v>4</v>
      </c>
      <c r="BG40" s="65" t="s">
        <v>4</v>
      </c>
      <c r="BH40" s="65" t="s">
        <v>4</v>
      </c>
      <c r="BI40" s="65" t="s">
        <v>4</v>
      </c>
      <c r="BJ40" s="65" t="s">
        <v>4</v>
      </c>
      <c r="BK40" s="65" t="s">
        <v>4</v>
      </c>
    </row>
    <row r="41" spans="1:70" ht="31.5" customHeight="1" x14ac:dyDescent="0.2">
      <c r="A41" s="153" t="s">
        <v>95</v>
      </c>
      <c r="B41" s="154"/>
      <c r="C41" s="63">
        <v>0.33339999999999997</v>
      </c>
      <c r="D41" s="64">
        <v>4</v>
      </c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 t="s">
        <v>4</v>
      </c>
      <c r="Y41" s="65" t="s">
        <v>4</v>
      </c>
      <c r="Z41" s="65" t="s">
        <v>4</v>
      </c>
      <c r="AA41" s="65" t="s">
        <v>4</v>
      </c>
      <c r="AB41" s="65" t="s">
        <v>4</v>
      </c>
      <c r="AC41" s="65" t="s">
        <v>4</v>
      </c>
      <c r="AD41" s="65" t="s">
        <v>4</v>
      </c>
      <c r="AE41" s="65" t="s">
        <v>4</v>
      </c>
      <c r="AF41" s="65" t="s">
        <v>4</v>
      </c>
      <c r="AG41" s="65" t="s">
        <v>4</v>
      </c>
      <c r="AH41" s="65" t="s">
        <v>4</v>
      </c>
      <c r="AI41" s="65" t="s">
        <v>4</v>
      </c>
      <c r="AJ41" s="65" t="s">
        <v>4</v>
      </c>
      <c r="AK41" s="65" t="s">
        <v>4</v>
      </c>
      <c r="AL41" s="65" t="s">
        <v>4</v>
      </c>
      <c r="AM41" s="65" t="s">
        <v>4</v>
      </c>
      <c r="AN41" s="65" t="s">
        <v>4</v>
      </c>
      <c r="AO41" s="65" t="s">
        <v>4</v>
      </c>
      <c r="AP41" s="65" t="s">
        <v>4</v>
      </c>
      <c r="AQ41" s="65" t="s">
        <v>4</v>
      </c>
      <c r="AR41" s="65" t="s">
        <v>4</v>
      </c>
      <c r="AS41" s="65" t="s">
        <v>4</v>
      </c>
      <c r="AT41" s="65" t="s">
        <v>4</v>
      </c>
      <c r="AU41" s="65" t="s">
        <v>4</v>
      </c>
      <c r="AV41" s="65" t="s">
        <v>4</v>
      </c>
      <c r="AW41" s="65" t="s">
        <v>4</v>
      </c>
      <c r="AX41" s="65" t="s">
        <v>4</v>
      </c>
      <c r="AY41" s="65" t="s">
        <v>4</v>
      </c>
      <c r="AZ41" s="65" t="s">
        <v>4</v>
      </c>
      <c r="BA41" s="65" t="s">
        <v>4</v>
      </c>
      <c r="BB41" s="65" t="s">
        <v>4</v>
      </c>
      <c r="BC41" s="65" t="s">
        <v>4</v>
      </c>
      <c r="BD41" s="65" t="s">
        <v>4</v>
      </c>
      <c r="BE41" s="65" t="s">
        <v>4</v>
      </c>
      <c r="BF41" s="65" t="s">
        <v>4</v>
      </c>
      <c r="BG41" s="65" t="s">
        <v>4</v>
      </c>
      <c r="BH41" s="65" t="s">
        <v>4</v>
      </c>
      <c r="BI41" s="65" t="s">
        <v>4</v>
      </c>
      <c r="BJ41" s="65" t="s">
        <v>4</v>
      </c>
      <c r="BK41" s="65" t="s">
        <v>4</v>
      </c>
    </row>
    <row r="42" spans="1:70" ht="31.5" customHeight="1" thickBot="1" x14ac:dyDescent="0.25">
      <c r="A42" s="155" t="s">
        <v>131</v>
      </c>
      <c r="B42" s="154"/>
      <c r="C42" s="63">
        <v>0.33329999999999999</v>
      </c>
      <c r="D42" s="64">
        <v>4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 t="s">
        <v>4</v>
      </c>
      <c r="Y42" s="65" t="s">
        <v>4</v>
      </c>
      <c r="Z42" s="65" t="s">
        <v>4</v>
      </c>
      <c r="AA42" s="65" t="s">
        <v>4</v>
      </c>
      <c r="AB42" s="65" t="s">
        <v>4</v>
      </c>
      <c r="AC42" s="65" t="s">
        <v>4</v>
      </c>
      <c r="AD42" s="65" t="s">
        <v>4</v>
      </c>
      <c r="AE42" s="65" t="s">
        <v>4</v>
      </c>
      <c r="AF42" s="65" t="s">
        <v>4</v>
      </c>
      <c r="AG42" s="65" t="s">
        <v>4</v>
      </c>
      <c r="AH42" s="65" t="s">
        <v>4</v>
      </c>
      <c r="AI42" s="65" t="s">
        <v>4</v>
      </c>
      <c r="AJ42" s="65" t="s">
        <v>4</v>
      </c>
      <c r="AK42" s="65" t="s">
        <v>4</v>
      </c>
      <c r="AL42" s="65" t="s">
        <v>4</v>
      </c>
      <c r="AM42" s="65" t="s">
        <v>4</v>
      </c>
      <c r="AN42" s="65" t="s">
        <v>4</v>
      </c>
      <c r="AO42" s="65" t="s">
        <v>4</v>
      </c>
      <c r="AP42" s="65" t="s">
        <v>4</v>
      </c>
      <c r="AQ42" s="65" t="s">
        <v>4</v>
      </c>
      <c r="AR42" s="65" t="s">
        <v>4</v>
      </c>
      <c r="AS42" s="65" t="s">
        <v>4</v>
      </c>
      <c r="AT42" s="65" t="s">
        <v>4</v>
      </c>
      <c r="AU42" s="65" t="s">
        <v>4</v>
      </c>
      <c r="AV42" s="65" t="s">
        <v>4</v>
      </c>
      <c r="AW42" s="65" t="s">
        <v>4</v>
      </c>
      <c r="AX42" s="65" t="s">
        <v>4</v>
      </c>
      <c r="AY42" s="65" t="s">
        <v>4</v>
      </c>
      <c r="AZ42" s="65" t="s">
        <v>4</v>
      </c>
      <c r="BA42" s="65" t="s">
        <v>4</v>
      </c>
      <c r="BB42" s="65" t="s">
        <v>4</v>
      </c>
      <c r="BC42" s="65" t="s">
        <v>4</v>
      </c>
      <c r="BD42" s="65" t="s">
        <v>4</v>
      </c>
      <c r="BE42" s="65" t="s">
        <v>4</v>
      </c>
      <c r="BF42" s="65" t="s">
        <v>4</v>
      </c>
      <c r="BG42" s="65" t="s">
        <v>4</v>
      </c>
      <c r="BH42" s="65" t="s">
        <v>4</v>
      </c>
      <c r="BI42" s="65" t="s">
        <v>4</v>
      </c>
      <c r="BJ42" s="65" t="s">
        <v>4</v>
      </c>
      <c r="BK42" s="65" t="s">
        <v>4</v>
      </c>
    </row>
    <row r="43" spans="1:70" ht="31.5" customHeight="1" thickTop="1" thickBot="1" x14ac:dyDescent="0.25">
      <c r="A43" s="141" t="s">
        <v>93</v>
      </c>
      <c r="B43" s="142"/>
      <c r="C43" s="66">
        <v>0.25</v>
      </c>
      <c r="D43" s="67">
        <f>D39*$C43</f>
        <v>1</v>
      </c>
      <c r="E43" s="67"/>
      <c r="F43" s="67"/>
      <c r="G43" s="67"/>
      <c r="H43" s="67"/>
      <c r="I43" s="67"/>
      <c r="J43" s="67"/>
      <c r="K43" s="67">
        <f t="shared" ref="K43:BK43" si="10">K39*$C43</f>
        <v>0</v>
      </c>
      <c r="L43" s="67">
        <f t="shared" si="10"/>
        <v>0</v>
      </c>
      <c r="M43" s="67">
        <f t="shared" si="10"/>
        <v>0</v>
      </c>
      <c r="N43" s="67">
        <f t="shared" si="10"/>
        <v>0</v>
      </c>
      <c r="O43" s="67">
        <f t="shared" si="10"/>
        <v>0</v>
      </c>
      <c r="P43" s="67">
        <f t="shared" si="10"/>
        <v>0</v>
      </c>
      <c r="Q43" s="67">
        <f t="shared" si="10"/>
        <v>0</v>
      </c>
      <c r="R43" s="67">
        <f t="shared" si="10"/>
        <v>0</v>
      </c>
      <c r="S43" s="67">
        <f t="shared" si="10"/>
        <v>0</v>
      </c>
      <c r="T43" s="67">
        <f t="shared" si="10"/>
        <v>0</v>
      </c>
      <c r="U43" s="67">
        <f t="shared" si="10"/>
        <v>0</v>
      </c>
      <c r="V43" s="67">
        <f t="shared" si="10"/>
        <v>0</v>
      </c>
      <c r="W43" s="67">
        <f t="shared" si="10"/>
        <v>0</v>
      </c>
      <c r="X43" s="67" t="e">
        <f t="shared" si="10"/>
        <v>#VALUE!</v>
      </c>
      <c r="Y43" s="67" t="e">
        <f t="shared" si="10"/>
        <v>#VALUE!</v>
      </c>
      <c r="Z43" s="67" t="e">
        <f t="shared" si="10"/>
        <v>#VALUE!</v>
      </c>
      <c r="AA43" s="67" t="e">
        <f t="shared" si="10"/>
        <v>#VALUE!</v>
      </c>
      <c r="AB43" s="67" t="e">
        <f t="shared" si="10"/>
        <v>#VALUE!</v>
      </c>
      <c r="AC43" s="67" t="e">
        <f t="shared" si="10"/>
        <v>#VALUE!</v>
      </c>
      <c r="AD43" s="67" t="e">
        <f t="shared" si="10"/>
        <v>#VALUE!</v>
      </c>
      <c r="AE43" s="67" t="e">
        <f t="shared" si="10"/>
        <v>#VALUE!</v>
      </c>
      <c r="AF43" s="67" t="e">
        <f t="shared" si="10"/>
        <v>#VALUE!</v>
      </c>
      <c r="AG43" s="67" t="e">
        <f t="shared" si="10"/>
        <v>#VALUE!</v>
      </c>
      <c r="AH43" s="67" t="e">
        <f t="shared" si="10"/>
        <v>#VALUE!</v>
      </c>
      <c r="AI43" s="67" t="e">
        <f t="shared" si="10"/>
        <v>#VALUE!</v>
      </c>
      <c r="AJ43" s="67" t="e">
        <f t="shared" si="10"/>
        <v>#VALUE!</v>
      </c>
      <c r="AK43" s="67" t="e">
        <f t="shared" si="10"/>
        <v>#VALUE!</v>
      </c>
      <c r="AL43" s="67" t="e">
        <f t="shared" si="10"/>
        <v>#VALUE!</v>
      </c>
      <c r="AM43" s="67" t="e">
        <f t="shared" si="10"/>
        <v>#VALUE!</v>
      </c>
      <c r="AN43" s="67" t="e">
        <f t="shared" si="10"/>
        <v>#VALUE!</v>
      </c>
      <c r="AO43" s="67" t="e">
        <f t="shared" si="10"/>
        <v>#VALUE!</v>
      </c>
      <c r="AP43" s="67" t="e">
        <f t="shared" si="10"/>
        <v>#VALUE!</v>
      </c>
      <c r="AQ43" s="67" t="e">
        <f t="shared" si="10"/>
        <v>#VALUE!</v>
      </c>
      <c r="AR43" s="67" t="e">
        <f t="shared" si="10"/>
        <v>#VALUE!</v>
      </c>
      <c r="AS43" s="67" t="e">
        <f t="shared" si="10"/>
        <v>#VALUE!</v>
      </c>
      <c r="AT43" s="67" t="e">
        <f t="shared" si="10"/>
        <v>#VALUE!</v>
      </c>
      <c r="AU43" s="67" t="e">
        <f t="shared" si="10"/>
        <v>#VALUE!</v>
      </c>
      <c r="AV43" s="67" t="e">
        <f t="shared" si="10"/>
        <v>#VALUE!</v>
      </c>
      <c r="AW43" s="67" t="e">
        <f t="shared" si="10"/>
        <v>#VALUE!</v>
      </c>
      <c r="AX43" s="67" t="e">
        <f t="shared" si="10"/>
        <v>#VALUE!</v>
      </c>
      <c r="AY43" s="67" t="e">
        <f t="shared" si="10"/>
        <v>#VALUE!</v>
      </c>
      <c r="AZ43" s="67" t="e">
        <f t="shared" si="10"/>
        <v>#VALUE!</v>
      </c>
      <c r="BA43" s="67" t="e">
        <f t="shared" si="10"/>
        <v>#VALUE!</v>
      </c>
      <c r="BB43" s="67" t="e">
        <f t="shared" si="10"/>
        <v>#VALUE!</v>
      </c>
      <c r="BC43" s="67" t="e">
        <f t="shared" si="10"/>
        <v>#VALUE!</v>
      </c>
      <c r="BD43" s="67" t="e">
        <f t="shared" si="10"/>
        <v>#VALUE!</v>
      </c>
      <c r="BE43" s="67" t="e">
        <f t="shared" si="10"/>
        <v>#VALUE!</v>
      </c>
      <c r="BF43" s="67" t="e">
        <f t="shared" si="10"/>
        <v>#VALUE!</v>
      </c>
      <c r="BG43" s="67" t="e">
        <f t="shared" si="10"/>
        <v>#VALUE!</v>
      </c>
      <c r="BH43" s="67" t="e">
        <f t="shared" si="10"/>
        <v>#VALUE!</v>
      </c>
      <c r="BI43" s="67" t="e">
        <f t="shared" si="10"/>
        <v>#VALUE!</v>
      </c>
      <c r="BJ43" s="67" t="e">
        <f t="shared" si="10"/>
        <v>#VALUE!</v>
      </c>
      <c r="BK43" s="67" t="e">
        <f t="shared" si="10"/>
        <v>#VALUE!</v>
      </c>
    </row>
    <row r="44" spans="1:70" ht="31.5" customHeight="1" thickTop="1" x14ac:dyDescent="0.2">
      <c r="A44" s="151" t="s">
        <v>133</v>
      </c>
      <c r="B44" s="152"/>
      <c r="C44" s="57">
        <v>0.5</v>
      </c>
      <c r="D44" s="58">
        <v>2.0299999999999998</v>
      </c>
      <c r="E44" s="58"/>
      <c r="F44" s="58"/>
      <c r="G44" s="58"/>
      <c r="H44" s="58"/>
      <c r="I44" s="58"/>
      <c r="J44" s="58"/>
      <c r="K44" s="58"/>
      <c r="L44" s="58"/>
      <c r="M44" s="58"/>
      <c r="N44" s="58">
        <f t="shared" ref="N44:W44" si="11">SUM(N45*$C45,N46*$C46)</f>
        <v>0</v>
      </c>
      <c r="O44" s="58">
        <f t="shared" si="11"/>
        <v>0</v>
      </c>
      <c r="P44" s="58">
        <f t="shared" si="11"/>
        <v>0</v>
      </c>
      <c r="Q44" s="58">
        <f t="shared" si="11"/>
        <v>0</v>
      </c>
      <c r="R44" s="58">
        <f t="shared" si="11"/>
        <v>0</v>
      </c>
      <c r="S44" s="58">
        <f t="shared" si="11"/>
        <v>0</v>
      </c>
      <c r="T44" s="58">
        <f t="shared" si="11"/>
        <v>0</v>
      </c>
      <c r="U44" s="58">
        <f t="shared" si="11"/>
        <v>0</v>
      </c>
      <c r="V44" s="58">
        <f t="shared" si="11"/>
        <v>0</v>
      </c>
      <c r="W44" s="58">
        <f t="shared" si="11"/>
        <v>0</v>
      </c>
      <c r="X44" s="59">
        <v>0</v>
      </c>
      <c r="Y44" s="59">
        <v>0</v>
      </c>
      <c r="Z44" s="59">
        <v>0</v>
      </c>
      <c r="AA44" s="59">
        <v>0</v>
      </c>
      <c r="AB44" s="59">
        <v>0</v>
      </c>
      <c r="AC44" s="59">
        <v>0</v>
      </c>
      <c r="AD44" s="59">
        <v>0</v>
      </c>
      <c r="AE44" s="59">
        <v>0</v>
      </c>
      <c r="AF44" s="59">
        <v>0</v>
      </c>
      <c r="AG44" s="59">
        <v>0</v>
      </c>
      <c r="AH44" s="59">
        <v>0</v>
      </c>
      <c r="AI44" s="59">
        <v>0</v>
      </c>
      <c r="AJ44" s="59">
        <v>0</v>
      </c>
      <c r="AK44" s="59">
        <v>0</v>
      </c>
      <c r="AL44" s="59">
        <v>0</v>
      </c>
      <c r="AM44" s="59">
        <v>0</v>
      </c>
      <c r="AN44" s="59">
        <v>0</v>
      </c>
      <c r="AO44" s="59">
        <v>0</v>
      </c>
      <c r="AP44" s="59">
        <v>0</v>
      </c>
      <c r="AQ44" s="59">
        <v>0</v>
      </c>
      <c r="AR44" s="59">
        <v>0</v>
      </c>
      <c r="AS44" s="59">
        <v>0</v>
      </c>
      <c r="AT44" s="59">
        <v>0</v>
      </c>
      <c r="AU44" s="59">
        <v>0</v>
      </c>
      <c r="AV44" s="59">
        <v>0</v>
      </c>
      <c r="AW44" s="59">
        <v>0</v>
      </c>
      <c r="AX44" s="59">
        <v>0</v>
      </c>
      <c r="AY44" s="59">
        <v>0</v>
      </c>
      <c r="AZ44" s="59">
        <v>0</v>
      </c>
      <c r="BA44" s="59">
        <v>0</v>
      </c>
      <c r="BB44" s="59">
        <v>0</v>
      </c>
      <c r="BC44" s="59">
        <v>0</v>
      </c>
      <c r="BD44" s="59">
        <v>0</v>
      </c>
      <c r="BE44" s="59">
        <v>0</v>
      </c>
      <c r="BF44" s="59">
        <v>0</v>
      </c>
      <c r="BG44" s="59">
        <v>0</v>
      </c>
      <c r="BH44" s="59">
        <v>0</v>
      </c>
      <c r="BI44" s="59">
        <v>0</v>
      </c>
      <c r="BJ44" s="59">
        <v>0</v>
      </c>
      <c r="BK44" s="59">
        <v>0</v>
      </c>
    </row>
    <row r="45" spans="1:70" ht="36.75" customHeight="1" x14ac:dyDescent="0.2">
      <c r="A45" s="153" t="s">
        <v>96</v>
      </c>
      <c r="B45" s="154"/>
      <c r="C45" s="63">
        <v>1</v>
      </c>
      <c r="D45" s="64">
        <v>2.0299999999999998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</row>
    <row r="46" spans="1:70" ht="43.5" customHeight="1" thickBot="1" x14ac:dyDescent="0.25">
      <c r="A46" s="153" t="s">
        <v>97</v>
      </c>
      <c r="B46" s="154"/>
      <c r="C46" s="63"/>
      <c r="D46" s="64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</row>
    <row r="47" spans="1:70" ht="31.5" customHeight="1" thickTop="1" thickBot="1" x14ac:dyDescent="0.25">
      <c r="A47" s="141" t="s">
        <v>93</v>
      </c>
      <c r="B47" s="142"/>
      <c r="C47" s="66">
        <v>0.5</v>
      </c>
      <c r="D47" s="67">
        <f>D44*$C47</f>
        <v>1.0149999999999999</v>
      </c>
      <c r="E47" s="67"/>
      <c r="F47" s="67"/>
      <c r="G47" s="67"/>
      <c r="H47" s="67"/>
      <c r="I47" s="67"/>
      <c r="J47" s="67"/>
      <c r="K47" s="67">
        <f t="shared" ref="K47:BK47" si="12">K44*$C47</f>
        <v>0</v>
      </c>
      <c r="L47" s="67">
        <f t="shared" si="12"/>
        <v>0</v>
      </c>
      <c r="M47" s="67">
        <f t="shared" si="12"/>
        <v>0</v>
      </c>
      <c r="N47" s="67">
        <f t="shared" si="12"/>
        <v>0</v>
      </c>
      <c r="O47" s="67">
        <f t="shared" si="12"/>
        <v>0</v>
      </c>
      <c r="P47" s="67">
        <f t="shared" si="12"/>
        <v>0</v>
      </c>
      <c r="Q47" s="67">
        <f t="shared" si="12"/>
        <v>0</v>
      </c>
      <c r="R47" s="67">
        <f t="shared" si="12"/>
        <v>0</v>
      </c>
      <c r="S47" s="67">
        <f t="shared" si="12"/>
        <v>0</v>
      </c>
      <c r="T47" s="67">
        <f t="shared" si="12"/>
        <v>0</v>
      </c>
      <c r="U47" s="67">
        <f t="shared" si="12"/>
        <v>0</v>
      </c>
      <c r="V47" s="67">
        <f t="shared" si="12"/>
        <v>0</v>
      </c>
      <c r="W47" s="67">
        <f t="shared" si="12"/>
        <v>0</v>
      </c>
      <c r="X47" s="67">
        <f t="shared" si="12"/>
        <v>0</v>
      </c>
      <c r="Y47" s="67">
        <f t="shared" si="12"/>
        <v>0</v>
      </c>
      <c r="Z47" s="67">
        <f t="shared" si="12"/>
        <v>0</v>
      </c>
      <c r="AA47" s="67">
        <f t="shared" si="12"/>
        <v>0</v>
      </c>
      <c r="AB47" s="67">
        <f t="shared" si="12"/>
        <v>0</v>
      </c>
      <c r="AC47" s="67">
        <f t="shared" si="12"/>
        <v>0</v>
      </c>
      <c r="AD47" s="67">
        <f t="shared" si="12"/>
        <v>0</v>
      </c>
      <c r="AE47" s="67">
        <f t="shared" si="12"/>
        <v>0</v>
      </c>
      <c r="AF47" s="67">
        <f t="shared" si="12"/>
        <v>0</v>
      </c>
      <c r="AG47" s="67">
        <f t="shared" si="12"/>
        <v>0</v>
      </c>
      <c r="AH47" s="67">
        <f t="shared" si="12"/>
        <v>0</v>
      </c>
      <c r="AI47" s="67">
        <f t="shared" si="12"/>
        <v>0</v>
      </c>
      <c r="AJ47" s="67">
        <f t="shared" si="12"/>
        <v>0</v>
      </c>
      <c r="AK47" s="67">
        <f t="shared" si="12"/>
        <v>0</v>
      </c>
      <c r="AL47" s="67">
        <f t="shared" si="12"/>
        <v>0</v>
      </c>
      <c r="AM47" s="67">
        <f t="shared" si="12"/>
        <v>0</v>
      </c>
      <c r="AN47" s="67">
        <f t="shared" si="12"/>
        <v>0</v>
      </c>
      <c r="AO47" s="67">
        <f t="shared" si="12"/>
        <v>0</v>
      </c>
      <c r="AP47" s="67">
        <f t="shared" si="12"/>
        <v>0</v>
      </c>
      <c r="AQ47" s="67">
        <f t="shared" si="12"/>
        <v>0</v>
      </c>
      <c r="AR47" s="67">
        <f t="shared" si="12"/>
        <v>0</v>
      </c>
      <c r="AS47" s="67">
        <f t="shared" si="12"/>
        <v>0</v>
      </c>
      <c r="AT47" s="67">
        <f t="shared" si="12"/>
        <v>0</v>
      </c>
      <c r="AU47" s="67">
        <f t="shared" si="12"/>
        <v>0</v>
      </c>
      <c r="AV47" s="67">
        <f t="shared" si="12"/>
        <v>0</v>
      </c>
      <c r="AW47" s="67">
        <f t="shared" si="12"/>
        <v>0</v>
      </c>
      <c r="AX47" s="67">
        <f t="shared" si="12"/>
        <v>0</v>
      </c>
      <c r="AY47" s="67">
        <f t="shared" si="12"/>
        <v>0</v>
      </c>
      <c r="AZ47" s="67">
        <f t="shared" si="12"/>
        <v>0</v>
      </c>
      <c r="BA47" s="67">
        <f t="shared" si="12"/>
        <v>0</v>
      </c>
      <c r="BB47" s="67">
        <f t="shared" si="12"/>
        <v>0</v>
      </c>
      <c r="BC47" s="67">
        <f t="shared" si="12"/>
        <v>0</v>
      </c>
      <c r="BD47" s="67">
        <f t="shared" si="12"/>
        <v>0</v>
      </c>
      <c r="BE47" s="67">
        <f t="shared" si="12"/>
        <v>0</v>
      </c>
      <c r="BF47" s="67">
        <f t="shared" si="12"/>
        <v>0</v>
      </c>
      <c r="BG47" s="67">
        <f t="shared" si="12"/>
        <v>0</v>
      </c>
      <c r="BH47" s="67">
        <f t="shared" si="12"/>
        <v>0</v>
      </c>
      <c r="BI47" s="67">
        <f t="shared" si="12"/>
        <v>0</v>
      </c>
      <c r="BJ47" s="67">
        <f t="shared" si="12"/>
        <v>0</v>
      </c>
      <c r="BK47" s="67">
        <f t="shared" si="12"/>
        <v>0</v>
      </c>
    </row>
    <row r="48" spans="1:70" ht="31.5" customHeight="1" thickTop="1" thickBot="1" x14ac:dyDescent="0.25">
      <c r="A48" s="143" t="s">
        <v>98</v>
      </c>
      <c r="B48" s="144"/>
      <c r="C48" s="145"/>
      <c r="D48" s="70">
        <f>SUM(D35,D38,D43,D47,D23)</f>
        <v>6.3674999999999997</v>
      </c>
      <c r="E48" s="70"/>
      <c r="F48" s="70"/>
      <c r="G48" s="70"/>
      <c r="H48" s="70"/>
      <c r="I48" s="70"/>
      <c r="J48" s="70"/>
      <c r="K48" s="70">
        <f t="shared" ref="K48" si="13">SUM(K35,K38,K43,K47,K23)</f>
        <v>0</v>
      </c>
      <c r="L48" s="70">
        <f t="shared" ref="L48" si="14">SUM(L35,L38,L43,L47,L23)</f>
        <v>0</v>
      </c>
      <c r="M48" s="70">
        <f t="shared" ref="M48" si="15">SUM(M35,M38,M43,M47,M23)</f>
        <v>0</v>
      </c>
      <c r="N48" s="70">
        <f t="shared" ref="N48:W48" si="16">SUM(N35,N38,N43,N47)</f>
        <v>0</v>
      </c>
      <c r="O48" s="70">
        <f t="shared" si="16"/>
        <v>0</v>
      </c>
      <c r="P48" s="70">
        <f t="shared" si="16"/>
        <v>0</v>
      </c>
      <c r="Q48" s="70">
        <f t="shared" si="16"/>
        <v>0</v>
      </c>
      <c r="R48" s="70">
        <f t="shared" si="16"/>
        <v>0</v>
      </c>
      <c r="S48" s="70">
        <f t="shared" si="16"/>
        <v>0</v>
      </c>
      <c r="T48" s="70">
        <f t="shared" si="16"/>
        <v>0</v>
      </c>
      <c r="U48" s="70">
        <f t="shared" si="16"/>
        <v>0</v>
      </c>
      <c r="V48" s="70">
        <f t="shared" si="16"/>
        <v>0</v>
      </c>
      <c r="W48" s="70">
        <f t="shared" si="16"/>
        <v>0</v>
      </c>
      <c r="X48" s="71" t="s">
        <v>4</v>
      </c>
      <c r="Y48" s="71" t="s">
        <v>4</v>
      </c>
      <c r="Z48" s="71" t="s">
        <v>4</v>
      </c>
      <c r="AA48" s="71" t="s">
        <v>4</v>
      </c>
      <c r="AB48" s="71" t="s">
        <v>4</v>
      </c>
      <c r="AC48" s="71" t="s">
        <v>4</v>
      </c>
      <c r="AD48" s="71" t="s">
        <v>4</v>
      </c>
      <c r="AE48" s="71" t="s">
        <v>4</v>
      </c>
      <c r="AF48" s="71" t="s">
        <v>4</v>
      </c>
      <c r="AG48" s="71" t="s">
        <v>4</v>
      </c>
      <c r="AH48" s="71" t="s">
        <v>4</v>
      </c>
      <c r="AI48" s="71" t="s">
        <v>4</v>
      </c>
      <c r="AJ48" s="71" t="s">
        <v>4</v>
      </c>
      <c r="AK48" s="71" t="s">
        <v>4</v>
      </c>
      <c r="AL48" s="71" t="s">
        <v>4</v>
      </c>
      <c r="AM48" s="71" t="s">
        <v>4</v>
      </c>
      <c r="AN48" s="71" t="s">
        <v>4</v>
      </c>
      <c r="AO48" s="71" t="s">
        <v>4</v>
      </c>
      <c r="AP48" s="71" t="s">
        <v>4</v>
      </c>
      <c r="AQ48" s="71" t="s">
        <v>4</v>
      </c>
      <c r="AR48" s="71" t="s">
        <v>4</v>
      </c>
      <c r="AS48" s="71" t="s">
        <v>4</v>
      </c>
      <c r="AT48" s="71" t="s">
        <v>4</v>
      </c>
      <c r="AU48" s="71" t="s">
        <v>4</v>
      </c>
      <c r="AV48" s="71" t="s">
        <v>4</v>
      </c>
      <c r="AW48" s="71" t="s">
        <v>4</v>
      </c>
      <c r="AX48" s="71" t="s">
        <v>4</v>
      </c>
      <c r="AY48" s="71" t="s">
        <v>4</v>
      </c>
      <c r="AZ48" s="71" t="s">
        <v>4</v>
      </c>
      <c r="BA48" s="71" t="s">
        <v>4</v>
      </c>
      <c r="BB48" s="71" t="s">
        <v>4</v>
      </c>
      <c r="BC48" s="71" t="s">
        <v>4</v>
      </c>
      <c r="BD48" s="71" t="s">
        <v>4</v>
      </c>
      <c r="BE48" s="71" t="s">
        <v>4</v>
      </c>
      <c r="BF48" s="71" t="s">
        <v>4</v>
      </c>
      <c r="BG48" s="71" t="s">
        <v>4</v>
      </c>
      <c r="BH48" s="71" t="s">
        <v>4</v>
      </c>
      <c r="BI48" s="71" t="s">
        <v>4</v>
      </c>
      <c r="BJ48" s="71" t="s">
        <v>4</v>
      </c>
      <c r="BK48" s="71" t="s">
        <v>4</v>
      </c>
      <c r="BL48" s="69"/>
      <c r="BM48" s="69"/>
      <c r="BN48" s="69"/>
      <c r="BO48" s="69"/>
      <c r="BP48" s="69"/>
      <c r="BQ48" s="69"/>
      <c r="BR48" s="69"/>
    </row>
    <row r="49" spans="1:70" ht="31.5" customHeight="1" thickTop="1" thickBot="1" x14ac:dyDescent="0.25">
      <c r="A49" s="146" t="s">
        <v>99</v>
      </c>
      <c r="B49" s="147"/>
      <c r="C49" s="148"/>
      <c r="D49" s="72">
        <v>1</v>
      </c>
      <c r="E49" s="72"/>
      <c r="F49" s="72"/>
      <c r="G49" s="72"/>
      <c r="H49" s="72"/>
      <c r="I49" s="72"/>
      <c r="J49" s="72"/>
      <c r="K49" s="72"/>
      <c r="L49" s="72"/>
      <c r="M49" s="72"/>
      <c r="N49" s="72" t="s">
        <v>4</v>
      </c>
      <c r="O49" s="72" t="s">
        <v>4</v>
      </c>
      <c r="P49" s="72" t="s">
        <v>4</v>
      </c>
      <c r="Q49" s="72" t="s">
        <v>4</v>
      </c>
      <c r="R49" s="73" t="s">
        <v>4</v>
      </c>
      <c r="S49" s="74" t="s">
        <v>4</v>
      </c>
      <c r="T49" s="72" t="s">
        <v>4</v>
      </c>
      <c r="U49" s="72" t="s">
        <v>4</v>
      </c>
      <c r="V49" s="72" t="s">
        <v>4</v>
      </c>
      <c r="W49" s="72" t="s">
        <v>4</v>
      </c>
      <c r="X49" s="72" t="s">
        <v>4</v>
      </c>
      <c r="Y49" s="72" t="s">
        <v>4</v>
      </c>
      <c r="Z49" s="72" t="s">
        <v>4</v>
      </c>
      <c r="AA49" s="72" t="s">
        <v>4</v>
      </c>
      <c r="AB49" s="72" t="s">
        <v>4</v>
      </c>
      <c r="AC49" s="72" t="s">
        <v>4</v>
      </c>
      <c r="AD49" s="72" t="s">
        <v>4</v>
      </c>
      <c r="AE49" s="72" t="s">
        <v>4</v>
      </c>
      <c r="AF49" s="72" t="s">
        <v>4</v>
      </c>
      <c r="AG49" s="72" t="s">
        <v>4</v>
      </c>
      <c r="AH49" s="72" t="s">
        <v>4</v>
      </c>
      <c r="AI49" s="72" t="s">
        <v>4</v>
      </c>
      <c r="AJ49" s="72" t="s">
        <v>4</v>
      </c>
      <c r="AK49" s="72" t="s">
        <v>4</v>
      </c>
      <c r="AL49" s="72" t="s">
        <v>4</v>
      </c>
      <c r="AM49" s="72" t="s">
        <v>4</v>
      </c>
      <c r="AN49" s="72" t="s">
        <v>4</v>
      </c>
      <c r="AO49" s="72" t="s">
        <v>4</v>
      </c>
      <c r="AP49" s="72" t="s">
        <v>4</v>
      </c>
      <c r="AQ49" s="72" t="s">
        <v>4</v>
      </c>
      <c r="AR49" s="72" t="s">
        <v>4</v>
      </c>
      <c r="AS49" s="72" t="s">
        <v>4</v>
      </c>
      <c r="AT49" s="72" t="s">
        <v>4</v>
      </c>
      <c r="AU49" s="72" t="s">
        <v>4</v>
      </c>
      <c r="AV49" s="72" t="s">
        <v>4</v>
      </c>
      <c r="AW49" s="72" t="s">
        <v>4</v>
      </c>
      <c r="AX49" s="72" t="s">
        <v>4</v>
      </c>
      <c r="AY49" s="72" t="s">
        <v>4</v>
      </c>
      <c r="AZ49" s="72" t="s">
        <v>4</v>
      </c>
      <c r="BA49" s="72" t="s">
        <v>4</v>
      </c>
      <c r="BB49" s="72" t="s">
        <v>4</v>
      </c>
      <c r="BC49" s="72" t="s">
        <v>4</v>
      </c>
      <c r="BD49" s="72" t="s">
        <v>4</v>
      </c>
      <c r="BE49" s="72" t="s">
        <v>4</v>
      </c>
      <c r="BF49" s="72" t="s">
        <v>4</v>
      </c>
      <c r="BG49" s="72" t="s">
        <v>4</v>
      </c>
      <c r="BH49" s="72" t="s">
        <v>4</v>
      </c>
      <c r="BI49" s="72" t="s">
        <v>4</v>
      </c>
      <c r="BJ49" s="72" t="s">
        <v>4</v>
      </c>
      <c r="BK49" s="72" t="s">
        <v>4</v>
      </c>
    </row>
    <row r="50" spans="1:70" ht="31.5" customHeight="1" thickTop="1" x14ac:dyDescent="0.2"/>
    <row r="51" spans="1:70" ht="31.5" customHeight="1" x14ac:dyDescent="0.2">
      <c r="A51" s="149" t="s">
        <v>100</v>
      </c>
      <c r="B51" s="149"/>
      <c r="C51" s="149"/>
      <c r="D51" s="149"/>
      <c r="E51" s="149"/>
      <c r="F51" s="149"/>
      <c r="G51" s="149"/>
      <c r="H51" s="149"/>
      <c r="I51" s="149"/>
      <c r="J51" s="149"/>
      <c r="K51" s="149"/>
    </row>
    <row r="52" spans="1:70" ht="31.5" customHeight="1" x14ac:dyDescent="0.2"/>
    <row r="53" spans="1:70" ht="31.5" customHeight="1" x14ac:dyDescent="0.2">
      <c r="A53" s="44" t="s">
        <v>109</v>
      </c>
      <c r="B53" s="44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"/>
      <c r="O53" s="39"/>
      <c r="P53" s="3"/>
      <c r="Q53" s="39"/>
      <c r="R53" s="75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</row>
    <row r="54" spans="1:70" ht="31.5" customHeight="1" x14ac:dyDescent="0.2"/>
    <row r="55" spans="1:70" ht="31.5" customHeight="1" x14ac:dyDescent="0.2">
      <c r="A55" s="150" t="s">
        <v>110</v>
      </c>
      <c r="B55" s="150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"/>
      <c r="O55" s="39"/>
      <c r="P55" s="3"/>
      <c r="Q55" s="39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</row>
    <row r="56" spans="1:70" ht="31.5" customHeight="1" x14ac:dyDescent="0.2"/>
    <row r="57" spans="1:70" ht="31.5" customHeight="1" x14ac:dyDescent="0.2"/>
    <row r="58" spans="1:70" ht="31.5" customHeight="1" x14ac:dyDescent="0.2"/>
    <row r="59" spans="1:70" ht="31.5" customHeight="1" x14ac:dyDescent="0.2"/>
    <row r="60" spans="1:70" ht="31.5" customHeight="1" x14ac:dyDescent="0.2"/>
    <row r="61" spans="1:70" ht="31.5" customHeight="1" x14ac:dyDescent="0.2"/>
    <row r="62" spans="1:70" ht="31.5" customHeight="1" x14ac:dyDescent="0.2"/>
    <row r="63" spans="1:70" ht="31.5" customHeight="1" x14ac:dyDescent="0.2"/>
    <row r="64" spans="1:70" ht="31.5" customHeight="1" x14ac:dyDescent="0.2"/>
    <row r="65" ht="31.5" customHeight="1" x14ac:dyDescent="0.2"/>
    <row r="66" ht="31.5" customHeight="1" x14ac:dyDescent="0.2"/>
    <row r="67" ht="31.5" customHeight="1" x14ac:dyDescent="0.2"/>
    <row r="68" ht="31.5" customHeight="1" x14ac:dyDescent="0.2"/>
    <row r="69" ht="31.5" customHeight="1" x14ac:dyDescent="0.2"/>
    <row r="70" ht="31.5" customHeight="1" x14ac:dyDescent="0.2"/>
    <row r="71" ht="31.5" customHeight="1" x14ac:dyDescent="0.2"/>
    <row r="72" ht="31.5" customHeight="1" x14ac:dyDescent="0.2"/>
    <row r="73" ht="31.5" customHeight="1" x14ac:dyDescent="0.2"/>
    <row r="74" ht="31.5" customHeight="1" x14ac:dyDescent="0.2"/>
    <row r="75" ht="31.5" customHeight="1" x14ac:dyDescent="0.2"/>
  </sheetData>
  <mergeCells count="71">
    <mergeCell ref="A1:I1"/>
    <mergeCell ref="A2:I2"/>
    <mergeCell ref="A3:C3"/>
    <mergeCell ref="D3:O3"/>
    <mergeCell ref="A4:D4"/>
    <mergeCell ref="E4:O4"/>
    <mergeCell ref="P4:R4"/>
    <mergeCell ref="S4:U4"/>
    <mergeCell ref="A5:D5"/>
    <mergeCell ref="E5:O5"/>
    <mergeCell ref="P5:R5"/>
    <mergeCell ref="S5:U5"/>
    <mergeCell ref="A6:B6"/>
    <mergeCell ref="C6:D6"/>
    <mergeCell ref="A7:B7"/>
    <mergeCell ref="C7:D7"/>
    <mergeCell ref="C9:D9"/>
    <mergeCell ref="E9:G9"/>
    <mergeCell ref="H9:J9"/>
    <mergeCell ref="K9:O9"/>
    <mergeCell ref="C10:D10"/>
    <mergeCell ref="E10:G10"/>
    <mergeCell ref="H10:J10"/>
    <mergeCell ref="K10:O10"/>
    <mergeCell ref="C11:D11"/>
    <mergeCell ref="E11:G11"/>
    <mergeCell ref="H11:J11"/>
    <mergeCell ref="K11:O11"/>
    <mergeCell ref="C19:D19"/>
    <mergeCell ref="E19:G19"/>
    <mergeCell ref="H19:J19"/>
    <mergeCell ref="K19:O19"/>
    <mergeCell ref="C12:D12"/>
    <mergeCell ref="C15:D15"/>
    <mergeCell ref="C13:D13"/>
    <mergeCell ref="C20:D20"/>
    <mergeCell ref="E20:G20"/>
    <mergeCell ref="H20:J20"/>
    <mergeCell ref="K20:O20"/>
    <mergeCell ref="A21:B22"/>
    <mergeCell ref="C21:C22"/>
    <mergeCell ref="D21:M21"/>
    <mergeCell ref="A29:B29"/>
    <mergeCell ref="A30:B30"/>
    <mergeCell ref="A31:B31"/>
    <mergeCell ref="A34:B34"/>
    <mergeCell ref="A23:B23"/>
    <mergeCell ref="A24:B24"/>
    <mergeCell ref="A25:B25"/>
    <mergeCell ref="A26:B26"/>
    <mergeCell ref="A27:B27"/>
    <mergeCell ref="A28:B28"/>
    <mergeCell ref="A32:B32"/>
    <mergeCell ref="A33:B3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7:B47"/>
    <mergeCell ref="A48:C48"/>
    <mergeCell ref="A49:C49"/>
    <mergeCell ref="A51:K51"/>
    <mergeCell ref="A55:B55"/>
  </mergeCells>
  <pageMargins left="0.70866141732283472" right="0.70866141732283472" top="0.74803149606299213" bottom="0.74803149606299213" header="0.31496062992125984" footer="0.31496062992125984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1.1 юридическая</vt:lpstr>
      <vt:lpstr>1.3 квалификационная</vt:lpstr>
      <vt:lpstr>2 эк.безопасность</vt:lpstr>
      <vt:lpstr>3 техническая</vt:lpstr>
      <vt:lpstr>сводный отчет ЭГ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Круглова Екатерина Владимировна</dc:creator>
  <cp:lastModifiedBy>Аня</cp:lastModifiedBy>
  <cp:lastPrinted>2024-01-30T07:25:15Z</cp:lastPrinted>
  <dcterms:created xsi:type="dcterms:W3CDTF">2010-02-17T12:34:21Z</dcterms:created>
  <dcterms:modified xsi:type="dcterms:W3CDTF">2025-02-18T04:38:03Z</dcterms:modified>
</cp:coreProperties>
</file>