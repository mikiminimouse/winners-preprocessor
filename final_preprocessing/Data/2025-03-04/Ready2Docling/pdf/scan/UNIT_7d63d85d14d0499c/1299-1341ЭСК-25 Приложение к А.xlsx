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.л." sheetId="1" state="visible" r:id="rId3"/>
    <sheet name="Лист2" sheetId="2" state="visible" r:id="rId4"/>
    <sheet name="Лист1" sheetId="3" state="visible" r:id="rId5"/>
  </sheets>
  <externalReferences>
    <externalReference r:id="rId6"/>
  </externalReferences>
  <definedNames>
    <definedName function="false" hidden="false" localSheetId="0" name="_xlnm.Print_Area" vbProcedure="false">'к.л.'!$A$1:$AK$38</definedName>
    <definedName function="false" hidden="false" name="_xlfn_CEILING_PRECISE" vbProcedure="false">#NAME?</definedName>
    <definedName function="false" hidden="false" localSheetId="0" name="Excel_BuiltIn__FilterDatabase" vbProcedure="false">'к.л.'!$A$7:$AF$38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<sst xmlns="http://schemas.openxmlformats.org/spreadsheetml/2006/main" count="247" uniqueCount="136">
  <si>
    <t xml:space="preserve">Приложение №1 к аналитической записке</t>
  </si>
  <si>
    <t xml:space="preserve"> № 1299-1341ЭСК-25 от 26.02.2025</t>
  </si>
  <si>
    <t xml:space="preserve">КОНКУРЕНТНЫЙ ЛИСТ </t>
  </si>
  <si>
    <t xml:space="preserve">В результате анализа полученых коммерческих предложений на поставку электротехнической продукции для АО "ЭСК" 1 полугодие 2025 г.,  лучшие условия поставки были выбраны у Участника № 2, Участника № 3, Участника № 5, Участника № 6, Участника № 7</t>
  </si>
  <si>
    <t xml:space="preserve">№ п/п</t>
  </si>
  <si>
    <t xml:space="preserve">Наименование продукции</t>
  </si>
  <si>
    <t xml:space="preserve">Требования</t>
  </si>
  <si>
    <t xml:space="preserve">Ед. изм.</t>
  </si>
  <si>
    <t xml:space="preserve">Кол-во</t>
  </si>
  <si>
    <t xml:space="preserve">Участник №1</t>
  </si>
  <si>
    <t xml:space="preserve">Участник №2</t>
  </si>
  <si>
    <t xml:space="preserve">Участник №3</t>
  </si>
  <si>
    <t xml:space="preserve">Участник №4</t>
  </si>
  <si>
    <t xml:space="preserve">Участник №5</t>
  </si>
  <si>
    <t xml:space="preserve">Участник №6</t>
  </si>
  <si>
    <t xml:space="preserve">Участник №7</t>
  </si>
  <si>
    <t xml:space="preserve">Участник №8</t>
  </si>
  <si>
    <t xml:space="preserve">Лучшее предложение</t>
  </si>
  <si>
    <t xml:space="preserve">Примечание</t>
  </si>
  <si>
    <t xml:space="preserve">Цена, руб.  с НДС</t>
  </si>
  <si>
    <t xml:space="preserve">Сумма, руб.  с НДС</t>
  </si>
  <si>
    <t xml:space="preserve">Победитель по позиции</t>
  </si>
  <si>
    <t xml:space="preserve">Разрядник РВН-0,5</t>
  </si>
  <si>
    <t xml:space="preserve">согласно требованиям технического задания</t>
  </si>
  <si>
    <t xml:space="preserve">шт.</t>
  </si>
  <si>
    <t xml:space="preserve">Разрядник РВН-0.5 У1 
Энергозащита 00000006 </t>
  </si>
  <si>
    <t xml:space="preserve">Ограничитель перенапряжений ОПН-П-0,4/0,4/3/125 
УХЛ1</t>
  </si>
  <si>
    <t xml:space="preserve">Разъединитель РЛК КЭ-2-10 IV/400-4УХЛ1 с приводом ПР-У1-02 УХЛ1 и КМЧ (6500мм)</t>
  </si>
  <si>
    <t xml:space="preserve">Разъединитель высоковольтный 
РЛК 2 IV 10/400 УХЛ1 КЭАЗ 246359</t>
  </si>
  <si>
    <t xml:space="preserve">Разъединитель РЛК КЭ - 2 - 10 IV/400 - 4 
УХЛ1 с приводом ПР - У1 - 02 УХЛ1 и КМЧ 
(6500мм)</t>
  </si>
  <si>
    <t xml:space="preserve">Разъединитель РЛК 2 10.IV/400 УХЛ1 с приводом 
ПР-У-02 с КМЧ (6200)</t>
  </si>
  <si>
    <t xml:space="preserve">Разъединитель РПС-2Л 250А  без ПВ</t>
  </si>
  <si>
    <t xml:space="preserve">Рубильник РПС-2/1Л У3 TDM (250А, левый привод, без 
плавких вставок)</t>
  </si>
  <si>
    <t xml:space="preserve">Разъединитель РПС-2Л-250А-безПВ-У3-</t>
  </si>
  <si>
    <t xml:space="preserve">Разъединитель РПС-2П 250А без ПВ</t>
  </si>
  <si>
    <t xml:space="preserve">Рубильник РПС-2/1П У3 TDM (250А, правый привод, 
без плавких вставок)</t>
  </si>
  <si>
    <t xml:space="preserve">Разъединитель РПС-2 250А П</t>
  </si>
  <si>
    <t xml:space="preserve">Рубильник РПС-4 400А левая рукоятка</t>
  </si>
  <si>
    <t xml:space="preserve">Рубильник РПС-4/1Л У3 TDM (400А, левый привод, без 
плавких вставок)</t>
  </si>
  <si>
    <t xml:space="preserve">Разъединитель РПС-4Л-400А-безПВ-У3- </t>
  </si>
  <si>
    <t xml:space="preserve">Рубильник РПС-4 400А правая рукоятка</t>
  </si>
  <si>
    <t xml:space="preserve">Рубильник РПС 4П 400А без ПВ У3
КЭАЗ 111470</t>
  </si>
  <si>
    <t xml:space="preserve">Рубильник РПС-4/1П У3 TDM (400А, правый привод,
без плавких вставок</t>
  </si>
  <si>
    <t xml:space="preserve">РПС-4П-400А-безПВ-У3 </t>
  </si>
  <si>
    <t xml:space="preserve">Трансформатор тока 100/5 5ВА 0,5S</t>
  </si>
  <si>
    <t xml:space="preserve">ТОП-0,66-I-5-0,5S-100/5 У3 МПИ 8 лет</t>
  </si>
  <si>
    <t xml:space="preserve"> Т-0,66-1-0,5S-5ВА-100/5 У3 МПИ 8 лет</t>
  </si>
  <si>
    <t xml:space="preserve"> ТТН 30T/100/5-
5VA/0,5S-Р TDM  МПИ 8 лет</t>
  </si>
  <si>
    <t xml:space="preserve">КЭАЗ МПИ 8 лет</t>
  </si>
  <si>
    <t xml:space="preserve">Трансформатор тока 150/5 5ВА 0,5S</t>
  </si>
  <si>
    <t xml:space="preserve">ТОП-0,66-I-5-0,5S-150/5 У3 МПИ 8 лет</t>
  </si>
  <si>
    <t xml:space="preserve">Т-0,66-1-0,5S-5ВА-150/5 У3 МПИ 8 лет</t>
  </si>
  <si>
    <t xml:space="preserve"> ТТН 30T/150/5-
5VA/0,5S-Р TDM  МПИ 8 лет</t>
  </si>
  <si>
    <t xml:space="preserve">Трансформатор тока 200/5 5ВА 0,5S</t>
  </si>
  <si>
    <t xml:space="preserve">ТОП-0,66-I-5-0,5S-200/5 У3 МПИ 8 лет</t>
  </si>
  <si>
    <t xml:space="preserve">Т-0,66-2-0,5S-5ВА-200/5 У3  МПИ 8 лет</t>
  </si>
  <si>
    <t xml:space="preserve"> ТТН 30T/200/5-
5VA/0,5S-Р TDM  МПИ 8 лет</t>
  </si>
  <si>
    <t xml:space="preserve">Трансформатор тока 250/5 5ВА 0,5S</t>
  </si>
  <si>
    <t xml:space="preserve">ТШП-0,66-I-5-0,5S-250/5 У3 МПИ 8 лет</t>
  </si>
  <si>
    <t xml:space="preserve">Т-0,66-2-0,5S-5ВА-250/5 У3  МПИ 8 лет</t>
  </si>
  <si>
    <t xml:space="preserve"> ТТН 30T/250/5-
5VA/0,5S-Р TDM  МПИ 8 лет</t>
  </si>
  <si>
    <t xml:space="preserve">Трансформатор тока 400/5А 0,5S</t>
  </si>
  <si>
    <t xml:space="preserve">ТШП-0,66-I-5-0,5S-400/5 У3 МПИ 8 лет</t>
  </si>
  <si>
    <t xml:space="preserve">Т-0,66-2-0,5S-5ВА-400/5 У3  МПИ 8 лет</t>
  </si>
  <si>
    <t xml:space="preserve"> ТТН 40/400/5-
5VA/0,5S-Р TDM  МПИ 8 лет</t>
  </si>
  <si>
    <t xml:space="preserve">Трансформатор тока 50/5 5ВА 0,5S</t>
  </si>
  <si>
    <t xml:space="preserve">ТОП-0,66-5-0,5S-50/5 У3 МПИ 8 лет</t>
  </si>
  <si>
    <t xml:space="preserve">Т-0,66-1-0,5S-5ВА-50/5 У3  МПИ 8 лет</t>
  </si>
  <si>
    <t xml:space="preserve"> ТТН-Ш
50/5- 5VA/0,5S-Р TDM  МПИ 8 лет</t>
  </si>
  <si>
    <t xml:space="preserve">Трансформатор тока 75/5 5ВА 0,5S</t>
  </si>
  <si>
    <t xml:space="preserve">ТОП-0,66-5-0,5S-75/5 У3 МПИ 8 лет</t>
  </si>
  <si>
    <t xml:space="preserve">Т-0,66-1-0,5S-5ВА-75/5 У3  МПИ 8 лет</t>
  </si>
  <si>
    <t xml:space="preserve">ТТН-Ш
75/5- 5VA/0,5S-Р TDM  МПИ 8 лет</t>
  </si>
  <si>
    <t xml:space="preserve">Изолятор А-632 низковольтный</t>
  </si>
  <si>
    <t xml:space="preserve">Изолятор А-632 АФЗ 00000097</t>
  </si>
  <si>
    <t xml:space="preserve">Изолятор А-645 Б (ОФП-2) низковольтный (930)</t>
  </si>
  <si>
    <t xml:space="preserve">Изолятор опорный А-632 внутренняя установка, АФЗ, керамические</t>
  </si>
  <si>
    <t xml:space="preserve">Привод ПР-10</t>
  </si>
  <si>
    <t xml:space="preserve">Привод ПР-10 Электрофарфор </t>
  </si>
  <si>
    <t xml:space="preserve">Привод ПР-10, ПРТ-13, ПРНЗ</t>
  </si>
  <si>
    <t xml:space="preserve">Привод ПР-17</t>
  </si>
  <si>
    <t xml:space="preserve">Привод ПР-17 Электрофарфор </t>
  </si>
  <si>
    <t xml:space="preserve">Привод ПР-17 </t>
  </si>
  <si>
    <t xml:space="preserve">Трансформатор тока ТЛП-10-2 М1A 600/5</t>
  </si>
  <si>
    <t xml:space="preserve">ТПОЛ-10-4-0,5S/10Р-600/5 УХЛ2 МПИ 16 лет</t>
  </si>
  <si>
    <t xml:space="preserve">ТПОЛ-10-4-0,5S/10Р-600/5 УХЛ2  МПИ 16 лет</t>
  </si>
  <si>
    <t xml:space="preserve">ТЛП-10-2 М1АС-0,5/10Р/10Р-10/15/15-600/5 У2 б 40 кА           МПИ 8 лет</t>
  </si>
  <si>
    <t xml:space="preserve">ТПОЛ-10-0,5S/10Р-600/5 У3 МПИ 16 лет</t>
  </si>
  <si>
    <t xml:space="preserve">Трансформатор тока  ТПЛ-10-М 200/5 </t>
  </si>
  <si>
    <t xml:space="preserve">ТПЛ-10-М-0,5/10Р-200/5 У2   МПИ 16 лет</t>
  </si>
  <si>
    <t xml:space="preserve">ТЛК-СТ-10-ТПЛ(1)-0,5/10Р10-10ВА/15ВА-2 00/5-200/5 20 52 У2 МПИ 16 лет</t>
  </si>
  <si>
    <t xml:space="preserve">ТЛП-10-2 М2АС-0,5/10Р-10/15-200/5 У2 б 20 кА МПИ 8 лет</t>
  </si>
  <si>
    <t xml:space="preserve">ТПЛ-10М 0,5/10P 200/5 У2 МПИ 16 лет</t>
  </si>
  <si>
    <t xml:space="preserve">Трансформатор тока ТПЛ-10-М 300/5 </t>
  </si>
  <si>
    <t xml:space="preserve">ТПЛ-10-М-0,5/10Р-300/5 У2  МПИ 16 лет</t>
  </si>
  <si>
    <t xml:space="preserve">ТЛК-СТ-10-ТПЛ(1)-0,5/10Р10-10ВА/15ВА-3 00/5-300/5 31,5 81 У2  МПИ 16 лет</t>
  </si>
  <si>
    <t xml:space="preserve">ТЛП-10-2 М2АС-0,5/10Р-10/15-300/5 У2 б 31,5кА  МПИ 8 лет</t>
  </si>
  <si>
    <t xml:space="preserve">Трансформатор тока ТПЛ-10М-0,5/10Р-300/5 У2 МПИ 16 лет</t>
  </si>
  <si>
    <t xml:space="preserve">Трансформатор тока  ТПЛ-10-М 600/5 </t>
  </si>
  <si>
    <t xml:space="preserve">м</t>
  </si>
  <si>
    <t xml:space="preserve">ТПЛ-10-М-0,5/10Р-600/5 У2 МПИ 16 лет</t>
  </si>
  <si>
    <t xml:space="preserve">ТЛК-СТ-10-ТПЛ(1)-0,5/10Р10-10ВА/15ВА-6 00/5-600/5 31,5 52 У2  МПИ 16 лет</t>
  </si>
  <si>
    <t xml:space="preserve">ТЛП-10-2 М2АС-0,5/10Р-10/15-600/5 У2 б 40 кА     МПИ 8 лет</t>
  </si>
  <si>
    <t xml:space="preserve">ТПЛ-10М-0,5/10P-600/5 У2  МПИ 16 лет</t>
  </si>
  <si>
    <t xml:space="preserve">Трансформатор тока ТПЛ-10-М 100/5                 </t>
  </si>
  <si>
    <t xml:space="preserve">ТПЛ-10-М-0,5/10Р-100/5 У2 МПИ 16 лет</t>
  </si>
  <si>
    <t xml:space="preserve">Трансформатор тока
ТЛК-СТ-10-ТПЛ(1)-0,5/10Р10-10ВА/15ВА-1
00/5-100/5 20 52 У3      МПИ 16 лет</t>
  </si>
  <si>
    <t xml:space="preserve">ТЛП-10-2 М2АС-0,5/10Р-10/15-100/5 У2 б 10 кА     МПИ 8 лет</t>
  </si>
  <si>
    <t xml:space="preserve">ТПЛ-10М-0,5/10Р-100/5 У2 МПИ 16 лет</t>
  </si>
  <si>
    <t xml:space="preserve">ИТОГО, руб. с  НДС </t>
  </si>
  <si>
    <t xml:space="preserve">в том числе НДС 20 %</t>
  </si>
  <si>
    <t xml:space="preserve">Условия оплаты</t>
  </si>
  <si>
    <t xml:space="preserve">отсрочка платежа 30 календарных дней</t>
  </si>
  <si>
    <t xml:space="preserve">отсрочка платежа 14 рабочих дней</t>
  </si>
  <si>
    <t xml:space="preserve">Х</t>
  </si>
  <si>
    <t xml:space="preserve">Срок поставки</t>
  </si>
  <si>
    <t xml:space="preserve">Позиции 7-13 - в течение 25 календарных дней с даты подписания договора
Позиции 17-21 - в течение 45 календарных дней с даты подписания договора</t>
  </si>
  <si>
    <t xml:space="preserve">20 рабочих дней</t>
  </si>
  <si>
    <t xml:space="preserve">30 календарных дней</t>
  </si>
  <si>
    <t xml:space="preserve">45 календарных дней </t>
  </si>
  <si>
    <t xml:space="preserve">140 календарных дней</t>
  </si>
  <si>
    <t xml:space="preserve">15 календарных дней</t>
  </si>
  <si>
    <t xml:space="preserve">Условия поставки</t>
  </si>
  <si>
    <t xml:space="preserve">Доставка до склада Покупателя</t>
  </si>
  <si>
    <t xml:space="preserve">Решение комиссии</t>
  </si>
  <si>
    <t xml:space="preserve">Отклонить по позициям 18,19,20,21 (несоответствие технических характеристик, а именно МПИ)</t>
  </si>
  <si>
    <t xml:space="preserve">Общая сумма позиций, по которым принято решение о признании участника закупки победителем, руб. с НДС</t>
  </si>
  <si>
    <t xml:space="preserve">Количество позиций, по которым принято решение о признании участника закупки победителем</t>
  </si>
  <si>
    <t xml:space="preserve">Главный специалист по закупкам                                                                                                                                                                     В.С.  Молодкина </t>
  </si>
  <si>
    <t xml:space="preserve">Руководитель группы по закупкам                                                                                                                                                                   Ю.Ю. Трущева
</t>
  </si>
  <si>
    <t xml:space="preserve">Кабель АВБШв 4х240 </t>
  </si>
  <si>
    <t xml:space="preserve">Провод СИП-2 -0,6/1 3х16+1х25 </t>
  </si>
  <si>
    <t xml:space="preserve"> Провод СИП-2 3х25+1х54,6 </t>
  </si>
  <si>
    <t xml:space="preserve">Провод СИП-4 4х16 ГОСТ 31946-2012 </t>
  </si>
  <si>
    <t xml:space="preserve">Кабель ВВГнг(A)-LS 4х16 </t>
  </si>
  <si>
    <t xml:space="preserve">Кабель КВВГнг(A)-LS 10х2.5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</si>
</sst>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0"/>
    <numFmt numFmtId="167" formatCode="#,##0.00\ _₽"/>
    <numFmt numFmtId="168" formatCode="0%"/>
    <numFmt numFmtId="169" formatCode="#,##0"/>
  </numFmts>
  <fonts count="1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i val="true"/>
      <sz val="12"/>
      <color rgb="FFFF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 val="true"/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2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5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3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7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5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-15-1976" xfId="20"/>
    <cellStyle name="TableStyleLight1" xfId="21"/>
    <cellStyle name="Обычный 2" xfId="22"/>
    <cellStyle name="Обычный 3" xfId="23"/>
    <cellStyle name="Обычный 4" xfId="24"/>
    <cellStyle name="Стиль 1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../C:/Users/MolodkinaVS/AppData/Roaming/1C/1cv8/6f556457-f6eb-4948-afc0-e9074c31b3ba/27c0b6cc-1a60-47cd-a144-d584112496df/App/&#1069;&#1057;&#1050;-22&#1057;&#1087;&#1077;&#1094;&#1080;&#1092;&#1080;&#1082;&#1072;&#1094;&#1080;&#1103;_&#1060;&#1086;&#1088;&#1084;&#1072;%20&#1050;&#1055;.&#1055;_1%20&#1082;%20&#1048;&#1079;&#1074;&#1077;&#1097;&#1077;&#1085;&#1080;&#1102;%20&#1086;%20&#1040;&#1056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sheetDataSet>
      <sheetData sheetId="0">
        <row r="8">
          <cell r="A8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1" width="4.28"/>
    <col collapsed="false" customWidth="true" hidden="false" outlineLevel="0" max="2" min="2" style="1" width="38.85"/>
    <col collapsed="false" customWidth="true" hidden="false" outlineLevel="0" max="3" min="3" style="1" width="19.14"/>
    <col collapsed="false" customWidth="true" hidden="false" outlineLevel="0" max="4" min="4" style="1" width="6.56"/>
    <col collapsed="false" customWidth="true" hidden="false" outlineLevel="0" max="5" min="5" style="1" width="9.56"/>
    <col collapsed="false" customWidth="true" hidden="false" outlineLevel="0" max="6" min="6" style="1" width="18.14"/>
    <col collapsed="false" customWidth="true" hidden="false" outlineLevel="0" max="8" min="7" style="1" width="13.56"/>
    <col collapsed="false" customWidth="true" hidden="false" outlineLevel="0" max="9" min="9" style="1" width="15.99"/>
    <col collapsed="false" customWidth="true" hidden="false" outlineLevel="0" max="10" min="10" style="1" width="13.14"/>
    <col collapsed="false" customWidth="true" hidden="false" outlineLevel="0" max="11" min="11" style="1" width="15.56"/>
    <col collapsed="false" customWidth="true" hidden="false" outlineLevel="0" max="12" min="12" style="1" width="23.56"/>
    <col collapsed="false" customWidth="true" hidden="false" outlineLevel="0" max="14" min="13" style="1" width="15.56"/>
    <col collapsed="false" customWidth="true" hidden="false" outlineLevel="0" max="15" min="15" style="1" width="18.99"/>
    <col collapsed="false" customWidth="true" hidden="false" outlineLevel="0" max="16" min="16" style="1" width="13.56"/>
    <col collapsed="false" customWidth="true" hidden="false" outlineLevel="0" max="17" min="17" style="1" width="15.56"/>
    <col collapsed="false" customWidth="true" hidden="false" outlineLevel="0" max="18" min="18" style="1" width="18.28"/>
    <col collapsed="false" customWidth="true" hidden="false" outlineLevel="0" max="19" min="19" style="1" width="14.41"/>
    <col collapsed="false" customWidth="true" hidden="false" outlineLevel="0" max="20" min="20" style="1" width="15.56"/>
    <col collapsed="false" customWidth="true" hidden="false" outlineLevel="0" max="21" min="21" style="1" width="19.28"/>
    <col collapsed="false" customWidth="true" hidden="false" outlineLevel="0" max="22" min="22" style="1" width="15.56"/>
    <col collapsed="false" customWidth="true" hidden="false" outlineLevel="0" max="23" min="23" style="1" width="18.99"/>
    <col collapsed="false" customWidth="true" hidden="false" outlineLevel="0" max="24" min="24" style="1" width="15.41"/>
    <col collapsed="false" customWidth="true" hidden="false" outlineLevel="0" max="25" min="25" style="1" width="12.85"/>
    <col collapsed="false" customWidth="true" hidden="false" outlineLevel="0" max="26" min="26" style="1" width="20.56"/>
    <col collapsed="false" customWidth="true" hidden="false" outlineLevel="0" max="27" min="27" style="1" width="12.28"/>
    <col collapsed="false" customWidth="true" hidden="false" outlineLevel="0" max="29" min="28" style="1" width="15.56"/>
    <col collapsed="false" customWidth="true" hidden="false" outlineLevel="0" max="30" min="30" style="1" width="13.99"/>
    <col collapsed="false" customWidth="true" hidden="false" outlineLevel="0" max="31" min="31" style="1" width="16.13"/>
    <col collapsed="false" customWidth="true" hidden="false" outlineLevel="0" max="32" min="32" style="1" width="24.56"/>
    <col collapsed="false" customWidth="false" hidden="false" outlineLevel="0" max="257" min="33" style="1" width="9.14"/>
  </cols>
  <sheetData>
    <row r="1" customFormat="false" ht="40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6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71.2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customFormat="false" ht="71.2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customFormat="false" ht="71.25" hidden="false" customHeight="true" outlineLevel="0" collapsed="false">
      <c r="A5" s="6" t="s">
        <v>4</v>
      </c>
      <c r="B5" s="7" t="s">
        <v>5</v>
      </c>
      <c r="C5" s="7" t="s">
        <v>6</v>
      </c>
      <c r="D5" s="7" t="s">
        <v>7</v>
      </c>
      <c r="E5" s="8" t="s">
        <v>8</v>
      </c>
      <c r="F5" s="9" t="s">
        <v>9</v>
      </c>
      <c r="G5" s="9"/>
      <c r="H5" s="9"/>
      <c r="I5" s="9" t="s">
        <v>10</v>
      </c>
      <c r="J5" s="9"/>
      <c r="K5" s="9"/>
      <c r="L5" s="9" t="s">
        <v>11</v>
      </c>
      <c r="M5" s="9"/>
      <c r="N5" s="9"/>
      <c r="O5" s="9" t="s">
        <v>12</v>
      </c>
      <c r="P5" s="9"/>
      <c r="Q5" s="9"/>
      <c r="R5" s="9" t="s">
        <v>13</v>
      </c>
      <c r="S5" s="9"/>
      <c r="T5" s="9"/>
      <c r="U5" s="9" t="s">
        <v>14</v>
      </c>
      <c r="V5" s="9"/>
      <c r="W5" s="9"/>
      <c r="X5" s="9" t="s">
        <v>15</v>
      </c>
      <c r="Y5" s="9"/>
      <c r="Z5" s="9"/>
      <c r="AA5" s="9" t="s">
        <v>16</v>
      </c>
      <c r="AB5" s="9"/>
      <c r="AC5" s="9"/>
      <c r="AD5" s="10" t="s">
        <v>17</v>
      </c>
      <c r="AE5" s="10"/>
      <c r="AF5" s="10"/>
    </row>
    <row r="6" customFormat="false" ht="71.25" hidden="false" customHeight="true" outlineLevel="0" collapsed="false">
      <c r="A6" s="6"/>
      <c r="B6" s="7"/>
      <c r="C6" s="7"/>
      <c r="D6" s="7"/>
      <c r="E6" s="8"/>
      <c r="F6" s="11"/>
      <c r="G6" s="11"/>
      <c r="H6" s="11"/>
      <c r="I6" s="11"/>
      <c r="J6" s="11"/>
      <c r="K6" s="11"/>
      <c r="L6" s="11"/>
      <c r="M6" s="11"/>
      <c r="N6" s="11"/>
      <c r="O6" s="12"/>
      <c r="P6" s="12"/>
      <c r="Q6" s="12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0"/>
      <c r="AE6" s="10"/>
      <c r="AF6" s="10"/>
    </row>
    <row r="7" customFormat="false" ht="71.25" hidden="false" customHeight="true" outlineLevel="0" collapsed="false">
      <c r="A7" s="6"/>
      <c r="B7" s="7"/>
      <c r="C7" s="7"/>
      <c r="D7" s="7"/>
      <c r="E7" s="8"/>
      <c r="F7" s="13" t="s">
        <v>18</v>
      </c>
      <c r="G7" s="14" t="s">
        <v>19</v>
      </c>
      <c r="H7" s="15" t="s">
        <v>20</v>
      </c>
      <c r="I7" s="13" t="s">
        <v>18</v>
      </c>
      <c r="J7" s="14" t="s">
        <v>19</v>
      </c>
      <c r="K7" s="15" t="s">
        <v>20</v>
      </c>
      <c r="L7" s="13" t="s">
        <v>18</v>
      </c>
      <c r="M7" s="14" t="s">
        <v>19</v>
      </c>
      <c r="N7" s="15" t="s">
        <v>20</v>
      </c>
      <c r="O7" s="13" t="s">
        <v>18</v>
      </c>
      <c r="P7" s="14" t="s">
        <v>19</v>
      </c>
      <c r="Q7" s="16" t="s">
        <v>20</v>
      </c>
      <c r="R7" s="13" t="s">
        <v>18</v>
      </c>
      <c r="S7" s="14" t="s">
        <v>19</v>
      </c>
      <c r="T7" s="15" t="s">
        <v>20</v>
      </c>
      <c r="U7" s="13" t="s">
        <v>18</v>
      </c>
      <c r="V7" s="14" t="s">
        <v>19</v>
      </c>
      <c r="W7" s="15" t="s">
        <v>20</v>
      </c>
      <c r="X7" s="13" t="s">
        <v>18</v>
      </c>
      <c r="Y7" s="14" t="s">
        <v>19</v>
      </c>
      <c r="Z7" s="15" t="s">
        <v>20</v>
      </c>
      <c r="AA7" s="13" t="s">
        <v>18</v>
      </c>
      <c r="AB7" s="14" t="s">
        <v>19</v>
      </c>
      <c r="AC7" s="15" t="s">
        <v>20</v>
      </c>
      <c r="AD7" s="17" t="s">
        <v>19</v>
      </c>
      <c r="AE7" s="14" t="s">
        <v>20</v>
      </c>
      <c r="AF7" s="15" t="s">
        <v>21</v>
      </c>
    </row>
    <row r="8" customFormat="false" ht="112.5" hidden="false" customHeight="true" outlineLevel="0" collapsed="false">
      <c r="A8" s="18" t="n">
        <f aca="false">[1]Лист1!A8</f>
        <v>1</v>
      </c>
      <c r="B8" s="19" t="s">
        <v>22</v>
      </c>
      <c r="C8" s="20" t="s">
        <v>23</v>
      </c>
      <c r="D8" s="21" t="s">
        <v>24</v>
      </c>
      <c r="E8" s="22" t="n">
        <v>24</v>
      </c>
      <c r="F8" s="23"/>
      <c r="G8" s="24" t="n">
        <v>0</v>
      </c>
      <c r="H8" s="25" t="n">
        <f aca="false">G8*E8</f>
        <v>0</v>
      </c>
      <c r="I8" s="23" t="s">
        <v>25</v>
      </c>
      <c r="J8" s="26" t="n">
        <v>514.43</v>
      </c>
      <c r="K8" s="25" t="n">
        <v>12346.27</v>
      </c>
      <c r="L8" s="23"/>
      <c r="M8" s="24" t="n">
        <v>0</v>
      </c>
      <c r="N8" s="25" t="n">
        <f aca="false">M8*E8</f>
        <v>0</v>
      </c>
      <c r="O8" s="23"/>
      <c r="P8" s="24" t="n">
        <v>0</v>
      </c>
      <c r="Q8" s="27" t="n">
        <f aca="false">E8*P8</f>
        <v>0</v>
      </c>
      <c r="R8" s="28" t="s">
        <v>26</v>
      </c>
      <c r="S8" s="24" t="n">
        <v>624.23</v>
      </c>
      <c r="T8" s="29" t="n">
        <f aca="false">S8*E8</f>
        <v>14981.52</v>
      </c>
      <c r="U8" s="28"/>
      <c r="V8" s="24" t="n">
        <v>0</v>
      </c>
      <c r="W8" s="29" t="n">
        <v>0</v>
      </c>
      <c r="X8" s="28"/>
      <c r="Y8" s="24" t="n">
        <v>0</v>
      </c>
      <c r="Z8" s="29" t="n">
        <v>0</v>
      </c>
      <c r="AA8" s="28"/>
      <c r="AB8" s="24" t="n">
        <v>859</v>
      </c>
      <c r="AC8" s="29" t="n">
        <v>20616</v>
      </c>
      <c r="AD8" s="30" t="n">
        <f aca="false">J8</f>
        <v>514.43</v>
      </c>
      <c r="AE8" s="24" t="n">
        <f aca="false">K8</f>
        <v>12346.27</v>
      </c>
      <c r="AF8" s="29" t="s">
        <v>10</v>
      </c>
    </row>
    <row r="9" customFormat="false" ht="144" hidden="false" customHeight="true" outlineLevel="0" collapsed="false">
      <c r="A9" s="18" t="n">
        <v>2</v>
      </c>
      <c r="B9" s="19" t="s">
        <v>27</v>
      </c>
      <c r="C9" s="20" t="s">
        <v>23</v>
      </c>
      <c r="D9" s="21" t="s">
        <v>24</v>
      </c>
      <c r="E9" s="22" t="n">
        <v>2</v>
      </c>
      <c r="F9" s="23"/>
      <c r="G9" s="24" t="n">
        <v>0</v>
      </c>
      <c r="H9" s="25" t="n">
        <f aca="false">G9*E9</f>
        <v>0</v>
      </c>
      <c r="I9" s="23" t="s">
        <v>28</v>
      </c>
      <c r="J9" s="24" t="n">
        <v>54869.99</v>
      </c>
      <c r="K9" s="25" t="n">
        <v>109739.98</v>
      </c>
      <c r="L9" s="23" t="s">
        <v>29</v>
      </c>
      <c r="M9" s="26" t="n">
        <v>47450</v>
      </c>
      <c r="N9" s="25" t="n">
        <f aca="false">M9*E9</f>
        <v>94900</v>
      </c>
      <c r="O9" s="23"/>
      <c r="P9" s="24" t="n">
        <v>0</v>
      </c>
      <c r="Q9" s="27" t="n">
        <f aca="false">E9*P9</f>
        <v>0</v>
      </c>
      <c r="R9" s="28" t="s">
        <v>30</v>
      </c>
      <c r="S9" s="24" t="n">
        <v>47775</v>
      </c>
      <c r="T9" s="29" t="n">
        <f aca="false">S9*E9</f>
        <v>95550</v>
      </c>
      <c r="U9" s="28"/>
      <c r="V9" s="24" t="n">
        <v>47999.25</v>
      </c>
      <c r="W9" s="29" t="n">
        <v>95998.49</v>
      </c>
      <c r="X9" s="28"/>
      <c r="Y9" s="24" t="n">
        <v>0</v>
      </c>
      <c r="Z9" s="29" t="n">
        <v>0</v>
      </c>
      <c r="AA9" s="28"/>
      <c r="AB9" s="24" t="n">
        <v>0</v>
      </c>
      <c r="AC9" s="29" t="n">
        <f aca="false">AB9*H9</f>
        <v>0</v>
      </c>
      <c r="AD9" s="30" t="n">
        <f aca="false">M9</f>
        <v>47450</v>
      </c>
      <c r="AE9" s="24" t="n">
        <f aca="false">N9</f>
        <v>94900</v>
      </c>
      <c r="AF9" s="29" t="s">
        <v>11</v>
      </c>
    </row>
    <row r="10" customFormat="false" ht="112.5" hidden="false" customHeight="true" outlineLevel="0" collapsed="false">
      <c r="A10" s="18" t="n">
        <v>3</v>
      </c>
      <c r="B10" s="19" t="s">
        <v>31</v>
      </c>
      <c r="C10" s="20" t="s">
        <v>23</v>
      </c>
      <c r="D10" s="21" t="s">
        <v>24</v>
      </c>
      <c r="E10" s="22" t="n">
        <v>2</v>
      </c>
      <c r="F10" s="23"/>
      <c r="G10" s="24" t="n">
        <v>0</v>
      </c>
      <c r="H10" s="25" t="n">
        <f aca="false">G10*E10</f>
        <v>0</v>
      </c>
      <c r="I10" s="23"/>
      <c r="J10" s="24" t="n">
        <v>0</v>
      </c>
      <c r="K10" s="25" t="n">
        <f aca="false">E10*J10</f>
        <v>0</v>
      </c>
      <c r="L10" s="23"/>
      <c r="M10" s="24" t="n">
        <v>0</v>
      </c>
      <c r="N10" s="25" t="n">
        <f aca="false">M10*E10</f>
        <v>0</v>
      </c>
      <c r="O10" s="23"/>
      <c r="P10" s="24" t="n">
        <v>0</v>
      </c>
      <c r="Q10" s="27" t="n">
        <f aca="false">E10*P10</f>
        <v>0</v>
      </c>
      <c r="R10" s="28" t="s">
        <v>32</v>
      </c>
      <c r="S10" s="24" t="n">
        <v>8183.38</v>
      </c>
      <c r="T10" s="29" t="n">
        <f aca="false">S10*E10</f>
        <v>16366.76</v>
      </c>
      <c r="U10" s="28" t="s">
        <v>33</v>
      </c>
      <c r="V10" s="26" t="n">
        <v>8100.69</v>
      </c>
      <c r="W10" s="29" t="n">
        <f aca="false">V10*E10</f>
        <v>16201.38</v>
      </c>
      <c r="X10" s="28"/>
      <c r="Y10" s="24" t="n">
        <v>0</v>
      </c>
      <c r="Z10" s="29" t="n">
        <v>0</v>
      </c>
      <c r="AA10" s="28"/>
      <c r="AB10" s="24" t="n">
        <v>9012.5</v>
      </c>
      <c r="AC10" s="29" t="n">
        <v>18025</v>
      </c>
      <c r="AD10" s="30" t="n">
        <f aca="false">V10</f>
        <v>8100.69</v>
      </c>
      <c r="AE10" s="24" t="n">
        <f aca="false">W10</f>
        <v>16201.38</v>
      </c>
      <c r="AF10" s="29" t="s">
        <v>14</v>
      </c>
    </row>
    <row r="11" customFormat="false" ht="112.5" hidden="false" customHeight="true" outlineLevel="0" collapsed="false">
      <c r="A11" s="18" t="n">
        <v>4</v>
      </c>
      <c r="B11" s="19" t="s">
        <v>34</v>
      </c>
      <c r="C11" s="20" t="s">
        <v>23</v>
      </c>
      <c r="D11" s="21" t="s">
        <v>24</v>
      </c>
      <c r="E11" s="22" t="n">
        <v>2</v>
      </c>
      <c r="F11" s="23"/>
      <c r="G11" s="24" t="n">
        <v>0</v>
      </c>
      <c r="H11" s="25" t="n">
        <f aca="false">G11*E11</f>
        <v>0</v>
      </c>
      <c r="I11" s="23"/>
      <c r="J11" s="24" t="n">
        <v>0</v>
      </c>
      <c r="K11" s="25" t="n">
        <f aca="false">E11*J11</f>
        <v>0</v>
      </c>
      <c r="L11" s="23"/>
      <c r="M11" s="24" t="n">
        <v>0</v>
      </c>
      <c r="N11" s="25" t="n">
        <f aca="false">M11*E11</f>
        <v>0</v>
      </c>
      <c r="O11" s="23"/>
      <c r="P11" s="24" t="n">
        <v>0</v>
      </c>
      <c r="Q11" s="27" t="n">
        <f aca="false">E11*P11</f>
        <v>0</v>
      </c>
      <c r="R11" s="28" t="s">
        <v>35</v>
      </c>
      <c r="S11" s="24" t="n">
        <v>8183.38</v>
      </c>
      <c r="T11" s="29" t="n">
        <f aca="false">S11*E11</f>
        <v>16366.76</v>
      </c>
      <c r="U11" s="28" t="s">
        <v>36</v>
      </c>
      <c r="V11" s="26" t="n">
        <v>8100.68</v>
      </c>
      <c r="W11" s="29" t="n">
        <f aca="false">V11*E11</f>
        <v>16201.36</v>
      </c>
      <c r="X11" s="28"/>
      <c r="Y11" s="24" t="n">
        <v>0</v>
      </c>
      <c r="Z11" s="29" t="n">
        <v>0</v>
      </c>
      <c r="AA11" s="28"/>
      <c r="AB11" s="24" t="n">
        <v>9012.5</v>
      </c>
      <c r="AC11" s="29" t="n">
        <v>18025</v>
      </c>
      <c r="AD11" s="30" t="n">
        <f aca="false">V11</f>
        <v>8100.68</v>
      </c>
      <c r="AE11" s="24" t="n">
        <f aca="false">W11</f>
        <v>16201.36</v>
      </c>
      <c r="AF11" s="29" t="s">
        <v>14</v>
      </c>
    </row>
    <row r="12" customFormat="false" ht="112.5" hidden="false" customHeight="true" outlineLevel="0" collapsed="false">
      <c r="A12" s="18" t="n">
        <v>5</v>
      </c>
      <c r="B12" s="19" t="s">
        <v>37</v>
      </c>
      <c r="C12" s="20" t="s">
        <v>23</v>
      </c>
      <c r="D12" s="21" t="s">
        <v>24</v>
      </c>
      <c r="E12" s="22" t="n">
        <v>2</v>
      </c>
      <c r="F12" s="23"/>
      <c r="G12" s="24" t="n">
        <v>0</v>
      </c>
      <c r="H12" s="25" t="n">
        <f aca="false">G12*E12</f>
        <v>0</v>
      </c>
      <c r="I12" s="23"/>
      <c r="J12" s="24" t="n">
        <v>0</v>
      </c>
      <c r="K12" s="25" t="n">
        <f aca="false">E12*J12</f>
        <v>0</v>
      </c>
      <c r="L12" s="23"/>
      <c r="M12" s="24" t="n">
        <v>0</v>
      </c>
      <c r="N12" s="25" t="n">
        <f aca="false">M12*E12</f>
        <v>0</v>
      </c>
      <c r="O12" s="23"/>
      <c r="P12" s="24" t="n">
        <v>0</v>
      </c>
      <c r="Q12" s="27" t="n">
        <f aca="false">E12*P12</f>
        <v>0</v>
      </c>
      <c r="R12" s="28" t="s">
        <v>38</v>
      </c>
      <c r="S12" s="24" t="n">
        <v>12201.2</v>
      </c>
      <c r="T12" s="29" t="n">
        <f aca="false">S12*E12</f>
        <v>24402.4</v>
      </c>
      <c r="U12" s="28" t="s">
        <v>39</v>
      </c>
      <c r="V12" s="26" t="n">
        <v>10801</v>
      </c>
      <c r="W12" s="29" t="n">
        <v>21601.99</v>
      </c>
      <c r="X12" s="28"/>
      <c r="Y12" s="24" t="n">
        <v>0</v>
      </c>
      <c r="Z12" s="29" t="n">
        <v>0</v>
      </c>
      <c r="AA12" s="28"/>
      <c r="AB12" s="24" t="n">
        <v>14188.5</v>
      </c>
      <c r="AC12" s="29" t="n">
        <v>28377</v>
      </c>
      <c r="AD12" s="30" t="n">
        <f aca="false">V12</f>
        <v>10801</v>
      </c>
      <c r="AE12" s="24" t="n">
        <f aca="false">W12</f>
        <v>21601.99</v>
      </c>
      <c r="AF12" s="29" t="s">
        <v>14</v>
      </c>
    </row>
    <row r="13" customFormat="false" ht="112.5" hidden="false" customHeight="true" outlineLevel="0" collapsed="false">
      <c r="A13" s="18" t="n">
        <v>6</v>
      </c>
      <c r="B13" s="19" t="s">
        <v>40</v>
      </c>
      <c r="C13" s="20" t="s">
        <v>23</v>
      </c>
      <c r="D13" s="21" t="s">
        <v>24</v>
      </c>
      <c r="E13" s="22" t="n">
        <v>2</v>
      </c>
      <c r="F13" s="23"/>
      <c r="G13" s="24" t="n">
        <v>0</v>
      </c>
      <c r="H13" s="25" t="n">
        <f aca="false">G13*E13</f>
        <v>0</v>
      </c>
      <c r="I13" s="23" t="s">
        <v>41</v>
      </c>
      <c r="J13" s="26" t="n">
        <v>10526.4</v>
      </c>
      <c r="K13" s="25" t="n">
        <v>21052.8</v>
      </c>
      <c r="L13" s="23"/>
      <c r="M13" s="24" t="n">
        <v>0</v>
      </c>
      <c r="N13" s="25" t="n">
        <f aca="false">M13*E13</f>
        <v>0</v>
      </c>
      <c r="O13" s="23"/>
      <c r="P13" s="24" t="n">
        <v>0</v>
      </c>
      <c r="Q13" s="27" t="n">
        <f aca="false">E13*P13</f>
        <v>0</v>
      </c>
      <c r="R13" s="28" t="s">
        <v>42</v>
      </c>
      <c r="S13" s="24" t="n">
        <v>12201.2</v>
      </c>
      <c r="T13" s="29" t="n">
        <f aca="false">S13*E13</f>
        <v>24402.4</v>
      </c>
      <c r="U13" s="28" t="s">
        <v>43</v>
      </c>
      <c r="V13" s="24" t="n">
        <v>10801</v>
      </c>
      <c r="W13" s="29" t="n">
        <v>21601.99</v>
      </c>
      <c r="X13" s="28"/>
      <c r="Y13" s="24" t="n">
        <v>0</v>
      </c>
      <c r="Z13" s="29" t="n">
        <v>0</v>
      </c>
      <c r="AA13" s="28"/>
      <c r="AB13" s="24" t="n">
        <v>14188.5</v>
      </c>
      <c r="AC13" s="29" t="n">
        <v>28377</v>
      </c>
      <c r="AD13" s="30" t="n">
        <f aca="false">J13</f>
        <v>10526.4</v>
      </c>
      <c r="AE13" s="24" t="n">
        <f aca="false">K13</f>
        <v>21052.8</v>
      </c>
      <c r="AF13" s="29" t="s">
        <v>10</v>
      </c>
    </row>
    <row r="14" customFormat="false" ht="112.5" hidden="false" customHeight="true" outlineLevel="0" collapsed="false">
      <c r="A14" s="18" t="n">
        <v>7</v>
      </c>
      <c r="B14" s="19" t="s">
        <v>44</v>
      </c>
      <c r="C14" s="20" t="s">
        <v>23</v>
      </c>
      <c r="D14" s="21" t="s">
        <v>24</v>
      </c>
      <c r="E14" s="22" t="n">
        <v>3</v>
      </c>
      <c r="F14" s="23" t="s">
        <v>45</v>
      </c>
      <c r="G14" s="24" t="n">
        <v>1680</v>
      </c>
      <c r="H14" s="25" t="n">
        <f aca="false">G14*E14</f>
        <v>5040</v>
      </c>
      <c r="I14" s="23"/>
      <c r="J14" s="24" t="n">
        <v>0</v>
      </c>
      <c r="K14" s="25" t="n">
        <v>0</v>
      </c>
      <c r="L14" s="23"/>
      <c r="M14" s="24" t="n">
        <v>0</v>
      </c>
      <c r="N14" s="25" t="n">
        <f aca="false">M14*E14</f>
        <v>0</v>
      </c>
      <c r="O14" s="23" t="s">
        <v>46</v>
      </c>
      <c r="P14" s="24" t="n">
        <v>1284</v>
      </c>
      <c r="Q14" s="27" t="n">
        <f aca="false">E14*P14</f>
        <v>3852</v>
      </c>
      <c r="R14" s="28" t="s">
        <v>47</v>
      </c>
      <c r="S14" s="24" t="n">
        <v>1544.38</v>
      </c>
      <c r="T14" s="29" t="n">
        <f aca="false">S14*E14</f>
        <v>4633.14</v>
      </c>
      <c r="U14" s="28"/>
      <c r="V14" s="24" t="n">
        <v>0</v>
      </c>
      <c r="W14" s="29" t="n">
        <f aca="false">V14*E14</f>
        <v>0</v>
      </c>
      <c r="X14" s="28" t="s">
        <v>46</v>
      </c>
      <c r="Y14" s="26" t="n">
        <v>1188</v>
      </c>
      <c r="Z14" s="29" t="n">
        <f aca="false">Y14*E14</f>
        <v>3564</v>
      </c>
      <c r="AA14" s="28" t="s">
        <v>48</v>
      </c>
      <c r="AB14" s="24" t="n">
        <v>1536</v>
      </c>
      <c r="AC14" s="29" t="n">
        <f aca="false">AB14*E14</f>
        <v>4608</v>
      </c>
      <c r="AD14" s="30" t="n">
        <f aca="false">Y14</f>
        <v>1188</v>
      </c>
      <c r="AE14" s="24" t="n">
        <f aca="false">Z14</f>
        <v>3564</v>
      </c>
      <c r="AF14" s="29" t="s">
        <v>15</v>
      </c>
    </row>
    <row r="15" customFormat="false" ht="112.5" hidden="false" customHeight="true" outlineLevel="0" collapsed="false">
      <c r="A15" s="18" t="n">
        <v>8</v>
      </c>
      <c r="B15" s="19" t="s">
        <v>49</v>
      </c>
      <c r="C15" s="20" t="s">
        <v>23</v>
      </c>
      <c r="D15" s="21" t="s">
        <v>24</v>
      </c>
      <c r="E15" s="22" t="n">
        <v>15</v>
      </c>
      <c r="F15" s="23" t="s">
        <v>50</v>
      </c>
      <c r="G15" s="24" t="n">
        <v>1680</v>
      </c>
      <c r="H15" s="25" t="n">
        <f aca="false">G15*E15</f>
        <v>25200</v>
      </c>
      <c r="I15" s="23"/>
      <c r="J15" s="24" t="n">
        <v>0</v>
      </c>
      <c r="K15" s="25" t="n">
        <v>0</v>
      </c>
      <c r="L15" s="23"/>
      <c r="M15" s="24" t="n">
        <v>0</v>
      </c>
      <c r="N15" s="25" t="n">
        <f aca="false">M15*E15</f>
        <v>0</v>
      </c>
      <c r="O15" s="23" t="s">
        <v>51</v>
      </c>
      <c r="P15" s="24" t="n">
        <v>1284</v>
      </c>
      <c r="Q15" s="27" t="n">
        <f aca="false">E15*P15</f>
        <v>19260</v>
      </c>
      <c r="R15" s="28" t="s">
        <v>52</v>
      </c>
      <c r="S15" s="24" t="n">
        <v>1544.55</v>
      </c>
      <c r="T15" s="29" t="n">
        <f aca="false">S15*E15</f>
        <v>23168.25</v>
      </c>
      <c r="U15" s="28"/>
      <c r="V15" s="24" t="n">
        <v>1</v>
      </c>
      <c r="W15" s="29" t="n">
        <f aca="false">V15*E15</f>
        <v>15</v>
      </c>
      <c r="X15" s="28" t="s">
        <v>51</v>
      </c>
      <c r="Y15" s="26" t="n">
        <v>1188</v>
      </c>
      <c r="Z15" s="29" t="n">
        <f aca="false">Y15*E15</f>
        <v>17820</v>
      </c>
      <c r="AA15" s="28" t="s">
        <v>48</v>
      </c>
      <c r="AB15" s="24" t="n">
        <v>1494.5</v>
      </c>
      <c r="AC15" s="29" t="n">
        <f aca="false">AB15*E15</f>
        <v>22417.5</v>
      </c>
      <c r="AD15" s="30" t="n">
        <f aca="false">Y15</f>
        <v>1188</v>
      </c>
      <c r="AE15" s="24" t="n">
        <f aca="false">Z15</f>
        <v>17820</v>
      </c>
      <c r="AF15" s="29" t="s">
        <v>15</v>
      </c>
    </row>
    <row r="16" customFormat="false" ht="112.5" hidden="false" customHeight="true" outlineLevel="0" collapsed="false">
      <c r="A16" s="18" t="n">
        <v>9</v>
      </c>
      <c r="B16" s="19" t="s">
        <v>53</v>
      </c>
      <c r="C16" s="20" t="s">
        <v>23</v>
      </c>
      <c r="D16" s="21" t="s">
        <v>24</v>
      </c>
      <c r="E16" s="22" t="n">
        <v>18</v>
      </c>
      <c r="F16" s="23" t="s">
        <v>54</v>
      </c>
      <c r="G16" s="24" t="n">
        <v>1680</v>
      </c>
      <c r="H16" s="25" t="n">
        <f aca="false">G16*E16</f>
        <v>30240</v>
      </c>
      <c r="I16" s="23"/>
      <c r="J16" s="24" t="n">
        <v>0</v>
      </c>
      <c r="K16" s="25" t="n">
        <v>0</v>
      </c>
      <c r="L16" s="23"/>
      <c r="M16" s="24" t="n">
        <v>0</v>
      </c>
      <c r="N16" s="25" t="n">
        <f aca="false">M16*E16</f>
        <v>0</v>
      </c>
      <c r="O16" s="23" t="s">
        <v>55</v>
      </c>
      <c r="P16" s="24" t="n">
        <v>1284</v>
      </c>
      <c r="Q16" s="27" t="n">
        <f aca="false">E16*P16</f>
        <v>23112</v>
      </c>
      <c r="R16" s="28" t="s">
        <v>56</v>
      </c>
      <c r="S16" s="24" t="n">
        <v>1551.85</v>
      </c>
      <c r="T16" s="29" t="n">
        <f aca="false">S16*E16</f>
        <v>27933.3</v>
      </c>
      <c r="U16" s="28"/>
      <c r="V16" s="24" t="n">
        <v>2</v>
      </c>
      <c r="W16" s="29" t="n">
        <f aca="false">V16*E16</f>
        <v>36</v>
      </c>
      <c r="X16" s="28" t="s">
        <v>55</v>
      </c>
      <c r="Y16" s="26" t="n">
        <v>1188</v>
      </c>
      <c r="Z16" s="29" t="n">
        <f aca="false">Y16*E16</f>
        <v>21384</v>
      </c>
      <c r="AA16" s="28" t="s">
        <v>48</v>
      </c>
      <c r="AB16" s="24" t="n">
        <v>1524.5</v>
      </c>
      <c r="AC16" s="29" t="n">
        <f aca="false">AB16*E16</f>
        <v>27441</v>
      </c>
      <c r="AD16" s="30" t="n">
        <f aca="false">Y16</f>
        <v>1188</v>
      </c>
      <c r="AE16" s="24" t="n">
        <f aca="false">Z16</f>
        <v>21384</v>
      </c>
      <c r="AF16" s="29" t="s">
        <v>15</v>
      </c>
    </row>
    <row r="17" customFormat="false" ht="112.5" hidden="false" customHeight="true" outlineLevel="0" collapsed="false">
      <c r="A17" s="18" t="n">
        <v>10</v>
      </c>
      <c r="B17" s="19" t="s">
        <v>57</v>
      </c>
      <c r="C17" s="20" t="s">
        <v>23</v>
      </c>
      <c r="D17" s="21" t="s">
        <v>24</v>
      </c>
      <c r="E17" s="22" t="n">
        <v>3</v>
      </c>
      <c r="F17" s="23" t="s">
        <v>58</v>
      </c>
      <c r="G17" s="24" t="n">
        <v>1980</v>
      </c>
      <c r="H17" s="25" t="n">
        <f aca="false">G17*E17</f>
        <v>5940</v>
      </c>
      <c r="I17" s="23"/>
      <c r="J17" s="24" t="n">
        <v>0</v>
      </c>
      <c r="K17" s="25" t="n">
        <v>0</v>
      </c>
      <c r="L17" s="23"/>
      <c r="M17" s="24" t="n">
        <v>0</v>
      </c>
      <c r="N17" s="25" t="n">
        <f aca="false">M17*E17</f>
        <v>0</v>
      </c>
      <c r="O17" s="23" t="s">
        <v>59</v>
      </c>
      <c r="P17" s="24" t="n">
        <v>1284</v>
      </c>
      <c r="Q17" s="27" t="n">
        <f aca="false">E17*P17</f>
        <v>3852</v>
      </c>
      <c r="R17" s="28" t="s">
        <v>60</v>
      </c>
      <c r="S17" s="24" t="n">
        <v>1551.85</v>
      </c>
      <c r="T17" s="29" t="n">
        <f aca="false">S17*E17</f>
        <v>4655.55</v>
      </c>
      <c r="U17" s="28"/>
      <c r="V17" s="24" t="n">
        <v>3</v>
      </c>
      <c r="W17" s="29" t="n">
        <f aca="false">V17*E17</f>
        <v>9</v>
      </c>
      <c r="X17" s="28" t="s">
        <v>59</v>
      </c>
      <c r="Y17" s="26" t="n">
        <v>1176</v>
      </c>
      <c r="Z17" s="29" t="n">
        <f aca="false">Y17*E17</f>
        <v>3528</v>
      </c>
      <c r="AA17" s="28" t="s">
        <v>48</v>
      </c>
      <c r="AB17" s="24" t="n">
        <v>1540</v>
      </c>
      <c r="AC17" s="29" t="n">
        <f aca="false">AB17*E17</f>
        <v>4620</v>
      </c>
      <c r="AD17" s="30" t="n">
        <f aca="false">Y17</f>
        <v>1176</v>
      </c>
      <c r="AE17" s="24" t="n">
        <f aca="false">Z17</f>
        <v>3528</v>
      </c>
      <c r="AF17" s="29" t="s">
        <v>15</v>
      </c>
    </row>
    <row r="18" customFormat="false" ht="112.5" hidden="false" customHeight="true" outlineLevel="0" collapsed="false">
      <c r="A18" s="18" t="n">
        <v>11</v>
      </c>
      <c r="B18" s="19" t="s">
        <v>61</v>
      </c>
      <c r="C18" s="20" t="s">
        <v>23</v>
      </c>
      <c r="D18" s="21" t="s">
        <v>24</v>
      </c>
      <c r="E18" s="22" t="n">
        <v>3</v>
      </c>
      <c r="F18" s="23" t="s">
        <v>62</v>
      </c>
      <c r="G18" s="24" t="n">
        <v>1203</v>
      </c>
      <c r="H18" s="25" t="n">
        <f aca="false">G18*E18</f>
        <v>3609</v>
      </c>
      <c r="I18" s="23"/>
      <c r="J18" s="24" t="n">
        <v>0</v>
      </c>
      <c r="K18" s="25" t="n">
        <v>0</v>
      </c>
      <c r="L18" s="23"/>
      <c r="M18" s="24" t="n">
        <v>0</v>
      </c>
      <c r="N18" s="25" t="n">
        <f aca="false">M18*E18</f>
        <v>0</v>
      </c>
      <c r="O18" s="23" t="s">
        <v>63</v>
      </c>
      <c r="P18" s="24" t="n">
        <v>1284</v>
      </c>
      <c r="Q18" s="27" t="n">
        <f aca="false">E18*P18</f>
        <v>3852</v>
      </c>
      <c r="R18" s="28" t="s">
        <v>64</v>
      </c>
      <c r="S18" s="24" t="n">
        <v>1550.15</v>
      </c>
      <c r="T18" s="29" t="n">
        <f aca="false">S18*E18</f>
        <v>4650.45</v>
      </c>
      <c r="U18" s="28"/>
      <c r="V18" s="24" t="n">
        <v>4</v>
      </c>
      <c r="W18" s="29" t="n">
        <f aca="false">V18*E18</f>
        <v>12</v>
      </c>
      <c r="X18" s="28" t="s">
        <v>63</v>
      </c>
      <c r="Y18" s="26" t="n">
        <v>1176</v>
      </c>
      <c r="Z18" s="29" t="n">
        <f aca="false">Y18*E18</f>
        <v>3528</v>
      </c>
      <c r="AA18" s="28" t="s">
        <v>48</v>
      </c>
      <c r="AB18" s="24" t="n">
        <v>1619</v>
      </c>
      <c r="AC18" s="29" t="n">
        <f aca="false">AB18*E18</f>
        <v>4857</v>
      </c>
      <c r="AD18" s="30" t="n">
        <f aca="false">Y18</f>
        <v>1176</v>
      </c>
      <c r="AE18" s="24" t="n">
        <f aca="false">Z18</f>
        <v>3528</v>
      </c>
      <c r="AF18" s="29" t="s">
        <v>15</v>
      </c>
    </row>
    <row r="19" customFormat="false" ht="112.5" hidden="false" customHeight="true" outlineLevel="0" collapsed="false">
      <c r="A19" s="18" t="n">
        <v>12</v>
      </c>
      <c r="B19" s="19" t="s">
        <v>65</v>
      </c>
      <c r="C19" s="20" t="s">
        <v>23</v>
      </c>
      <c r="D19" s="21" t="s">
        <v>24</v>
      </c>
      <c r="E19" s="22" t="n">
        <v>9</v>
      </c>
      <c r="F19" s="23" t="s">
        <v>66</v>
      </c>
      <c r="G19" s="24" t="n">
        <v>1860</v>
      </c>
      <c r="H19" s="25" t="n">
        <f aca="false">G19*E19</f>
        <v>16740</v>
      </c>
      <c r="I19" s="23"/>
      <c r="J19" s="24" t="n">
        <v>0</v>
      </c>
      <c r="K19" s="25" t="n">
        <v>0</v>
      </c>
      <c r="L19" s="23"/>
      <c r="M19" s="24" t="n">
        <v>0</v>
      </c>
      <c r="N19" s="25" t="n">
        <f aca="false">M19*E19</f>
        <v>0</v>
      </c>
      <c r="O19" s="23" t="s">
        <v>67</v>
      </c>
      <c r="P19" s="24" t="n">
        <v>1284</v>
      </c>
      <c r="Q19" s="27" t="n">
        <f aca="false">E19*P19</f>
        <v>11556</v>
      </c>
      <c r="R19" s="28" t="s">
        <v>68</v>
      </c>
      <c r="S19" s="24" t="n">
        <v>1582.83</v>
      </c>
      <c r="T19" s="29" t="n">
        <f aca="false">S19*E19</f>
        <v>14245.47</v>
      </c>
      <c r="U19" s="28"/>
      <c r="V19" s="24" t="n">
        <v>5</v>
      </c>
      <c r="W19" s="29" t="n">
        <f aca="false">V19*E19</f>
        <v>45</v>
      </c>
      <c r="X19" s="28" t="s">
        <v>67</v>
      </c>
      <c r="Y19" s="26" t="n">
        <v>1056</v>
      </c>
      <c r="Z19" s="29" t="n">
        <f aca="false">Y19*E19</f>
        <v>9504</v>
      </c>
      <c r="AA19" s="28" t="s">
        <v>48</v>
      </c>
      <c r="AB19" s="24" t="n">
        <v>1515.5</v>
      </c>
      <c r="AC19" s="29" t="n">
        <f aca="false">AB19*E19</f>
        <v>13639.5</v>
      </c>
      <c r="AD19" s="30" t="n">
        <f aca="false">Y19</f>
        <v>1056</v>
      </c>
      <c r="AE19" s="24" t="n">
        <f aca="false">Z19</f>
        <v>9504</v>
      </c>
      <c r="AF19" s="29" t="s">
        <v>15</v>
      </c>
    </row>
    <row r="20" customFormat="false" ht="112.5" hidden="false" customHeight="true" outlineLevel="0" collapsed="false">
      <c r="A20" s="18" t="n">
        <v>13</v>
      </c>
      <c r="B20" s="19" t="s">
        <v>69</v>
      </c>
      <c r="C20" s="20" t="s">
        <v>23</v>
      </c>
      <c r="D20" s="21" t="s">
        <v>24</v>
      </c>
      <c r="E20" s="22" t="n">
        <v>9</v>
      </c>
      <c r="F20" s="23" t="s">
        <v>70</v>
      </c>
      <c r="G20" s="24" t="n">
        <v>1860</v>
      </c>
      <c r="H20" s="25" t="n">
        <f aca="false">G20*E20</f>
        <v>16740</v>
      </c>
      <c r="I20" s="23"/>
      <c r="J20" s="24" t="n">
        <v>0</v>
      </c>
      <c r="K20" s="25" t="n">
        <v>0</v>
      </c>
      <c r="L20" s="23"/>
      <c r="M20" s="24" t="n">
        <v>0</v>
      </c>
      <c r="N20" s="25" t="n">
        <f aca="false">M20*E20</f>
        <v>0</v>
      </c>
      <c r="O20" s="23" t="s">
        <v>71</v>
      </c>
      <c r="P20" s="24" t="n">
        <v>1284</v>
      </c>
      <c r="Q20" s="27" t="n">
        <f aca="false">E20*P20</f>
        <v>11556</v>
      </c>
      <c r="R20" s="28" t="s">
        <v>72</v>
      </c>
      <c r="S20" s="24" t="n">
        <v>1582.83</v>
      </c>
      <c r="T20" s="29" t="n">
        <f aca="false">S20*E20</f>
        <v>14245.47</v>
      </c>
      <c r="U20" s="28"/>
      <c r="V20" s="24" t="n">
        <v>6</v>
      </c>
      <c r="W20" s="29" t="n">
        <f aca="false">V20*E20</f>
        <v>54</v>
      </c>
      <c r="X20" s="28" t="s">
        <v>71</v>
      </c>
      <c r="Y20" s="26" t="n">
        <v>1056</v>
      </c>
      <c r="Z20" s="29" t="n">
        <f aca="false">Y20*E20</f>
        <v>9504</v>
      </c>
      <c r="AA20" s="28" t="s">
        <v>48</v>
      </c>
      <c r="AB20" s="24" t="n">
        <v>1588</v>
      </c>
      <c r="AC20" s="29" t="n">
        <f aca="false">AB20*E20</f>
        <v>14292</v>
      </c>
      <c r="AD20" s="30" t="n">
        <f aca="false">Y20</f>
        <v>1056</v>
      </c>
      <c r="AE20" s="24" t="n">
        <f aca="false">Z20</f>
        <v>9504</v>
      </c>
      <c r="AF20" s="29" t="s">
        <v>15</v>
      </c>
    </row>
    <row r="21" customFormat="false" ht="90.75" hidden="false" customHeight="true" outlineLevel="0" collapsed="false">
      <c r="A21" s="18" t="n">
        <v>14</v>
      </c>
      <c r="B21" s="19" t="s">
        <v>73</v>
      </c>
      <c r="C21" s="20" t="s">
        <v>23</v>
      </c>
      <c r="D21" s="21" t="s">
        <v>24</v>
      </c>
      <c r="E21" s="22" t="n">
        <v>12</v>
      </c>
      <c r="F21" s="23"/>
      <c r="G21" s="24"/>
      <c r="H21" s="25" t="n">
        <f aca="false">G21*E21</f>
        <v>0</v>
      </c>
      <c r="I21" s="23" t="s">
        <v>74</v>
      </c>
      <c r="J21" s="26" t="n">
        <v>43.75</v>
      </c>
      <c r="K21" s="25" t="n">
        <v>525.02</v>
      </c>
      <c r="L21" s="23"/>
      <c r="M21" s="24" t="n">
        <v>0</v>
      </c>
      <c r="N21" s="25" t="n">
        <f aca="false">M21*E21</f>
        <v>0</v>
      </c>
      <c r="O21" s="23"/>
      <c r="P21" s="24" t="n">
        <v>0</v>
      </c>
      <c r="Q21" s="27" t="n">
        <f aca="false">E21*P21</f>
        <v>0</v>
      </c>
      <c r="R21" s="28" t="s">
        <v>75</v>
      </c>
      <c r="S21" s="24" t="n">
        <v>56</v>
      </c>
      <c r="T21" s="29" t="n">
        <f aca="false">S21*E21</f>
        <v>672</v>
      </c>
      <c r="U21" s="28" t="s">
        <v>76</v>
      </c>
      <c r="V21" s="24" t="n">
        <v>59.42</v>
      </c>
      <c r="W21" s="29" t="n">
        <v>713.09</v>
      </c>
      <c r="X21" s="28"/>
      <c r="Y21" s="24" t="n">
        <v>0</v>
      </c>
      <c r="Z21" s="29" t="n">
        <f aca="false">Y21*E21</f>
        <v>0</v>
      </c>
      <c r="AA21" s="28"/>
      <c r="AB21" s="24" t="n">
        <v>73.5</v>
      </c>
      <c r="AC21" s="29" t="n">
        <v>882</v>
      </c>
      <c r="AD21" s="30" t="n">
        <f aca="false">J21</f>
        <v>43.75</v>
      </c>
      <c r="AE21" s="24" t="n">
        <f aca="false">K21</f>
        <v>525.02</v>
      </c>
      <c r="AF21" s="29" t="s">
        <v>10</v>
      </c>
    </row>
    <row r="22" customFormat="false" ht="90.75" hidden="false" customHeight="true" outlineLevel="0" collapsed="false">
      <c r="A22" s="18" t="n">
        <v>15</v>
      </c>
      <c r="B22" s="19" t="s">
        <v>77</v>
      </c>
      <c r="C22" s="20" t="s">
        <v>23</v>
      </c>
      <c r="D22" s="21" t="s">
        <v>24</v>
      </c>
      <c r="E22" s="22" t="n">
        <v>3</v>
      </c>
      <c r="F22" s="23"/>
      <c r="G22" s="24"/>
      <c r="H22" s="25" t="n">
        <f aca="false">G22*E22</f>
        <v>0</v>
      </c>
      <c r="I22" s="23" t="s">
        <v>78</v>
      </c>
      <c r="J22" s="24" t="n">
        <v>9137.95</v>
      </c>
      <c r="K22" s="25" t="n">
        <v>27413.86</v>
      </c>
      <c r="L22" s="23"/>
      <c r="M22" s="24" t="n">
        <v>0</v>
      </c>
      <c r="N22" s="25" t="n">
        <f aca="false">M22*E22</f>
        <v>0</v>
      </c>
      <c r="O22" s="23"/>
      <c r="P22" s="24" t="n">
        <v>0</v>
      </c>
      <c r="Q22" s="27" t="n">
        <f aca="false">E22*P22</f>
        <v>0</v>
      </c>
      <c r="R22" s="28" t="s">
        <v>79</v>
      </c>
      <c r="S22" s="26" t="n">
        <v>6940.5</v>
      </c>
      <c r="T22" s="29" t="n">
        <f aca="false">S22*E22</f>
        <v>20821.5</v>
      </c>
      <c r="U22" s="28"/>
      <c r="V22" s="24"/>
      <c r="W22" s="29" t="n">
        <f aca="false">V22*E22</f>
        <v>0</v>
      </c>
      <c r="X22" s="28"/>
      <c r="Y22" s="24" t="n">
        <v>0</v>
      </c>
      <c r="Z22" s="29" t="n">
        <f aca="false">Y22*E22</f>
        <v>0</v>
      </c>
      <c r="AA22" s="28"/>
      <c r="AB22" s="24" t="n">
        <v>0</v>
      </c>
      <c r="AC22" s="29" t="n">
        <f aca="false">AB22*H22</f>
        <v>0</v>
      </c>
      <c r="AD22" s="30" t="n">
        <f aca="false">S22</f>
        <v>6940.5</v>
      </c>
      <c r="AE22" s="24" t="n">
        <f aca="false">T22</f>
        <v>20821.5</v>
      </c>
      <c r="AF22" s="29" t="s">
        <v>13</v>
      </c>
    </row>
    <row r="23" customFormat="false" ht="90.75" hidden="false" customHeight="true" outlineLevel="0" collapsed="false">
      <c r="A23" s="18" t="n">
        <v>16</v>
      </c>
      <c r="B23" s="19" t="s">
        <v>80</v>
      </c>
      <c r="C23" s="20" t="s">
        <v>23</v>
      </c>
      <c r="D23" s="21" t="s">
        <v>24</v>
      </c>
      <c r="E23" s="22" t="n">
        <v>3</v>
      </c>
      <c r="F23" s="23"/>
      <c r="G23" s="24"/>
      <c r="H23" s="25" t="n">
        <f aca="false">G23*E23</f>
        <v>0</v>
      </c>
      <c r="I23" s="23" t="s">
        <v>81</v>
      </c>
      <c r="J23" s="24" t="n">
        <v>11075.1</v>
      </c>
      <c r="K23" s="25" t="n">
        <v>33225.3</v>
      </c>
      <c r="L23" s="23"/>
      <c r="M23" s="24" t="n">
        <v>0</v>
      </c>
      <c r="N23" s="25" t="n">
        <f aca="false">M23*E23</f>
        <v>0</v>
      </c>
      <c r="O23" s="23"/>
      <c r="P23" s="24" t="n">
        <v>0</v>
      </c>
      <c r="Q23" s="27" t="n">
        <f aca="false">E23*P23</f>
        <v>0</v>
      </c>
      <c r="R23" s="28" t="s">
        <v>82</v>
      </c>
      <c r="S23" s="26" t="n">
        <v>8348.34</v>
      </c>
      <c r="T23" s="29" t="n">
        <f aca="false">S23*E23</f>
        <v>25045.02</v>
      </c>
      <c r="U23" s="28"/>
      <c r="V23" s="24"/>
      <c r="W23" s="29" t="n">
        <f aca="false">V23*E23</f>
        <v>0</v>
      </c>
      <c r="X23" s="28"/>
      <c r="Y23" s="24" t="n">
        <v>0</v>
      </c>
      <c r="Z23" s="29" t="n">
        <f aca="false">Y23*E23</f>
        <v>0</v>
      </c>
      <c r="AA23" s="28"/>
      <c r="AB23" s="24" t="n">
        <v>0</v>
      </c>
      <c r="AC23" s="29" t="n">
        <f aca="false">AB23*H23</f>
        <v>0</v>
      </c>
      <c r="AD23" s="30" t="n">
        <f aca="false">S23</f>
        <v>8348.34</v>
      </c>
      <c r="AE23" s="24" t="n">
        <f aca="false">T23</f>
        <v>25045.02</v>
      </c>
      <c r="AF23" s="29" t="s">
        <v>13</v>
      </c>
    </row>
    <row r="24" customFormat="false" ht="165" hidden="false" customHeight="true" outlineLevel="0" collapsed="false">
      <c r="A24" s="18" t="n">
        <v>17</v>
      </c>
      <c r="B24" s="19" t="s">
        <v>83</v>
      </c>
      <c r="C24" s="20" t="s">
        <v>23</v>
      </c>
      <c r="D24" s="21" t="s">
        <v>24</v>
      </c>
      <c r="E24" s="22" t="n">
        <v>1</v>
      </c>
      <c r="F24" s="23" t="s">
        <v>84</v>
      </c>
      <c r="G24" s="31" t="n">
        <v>26496</v>
      </c>
      <c r="H24" s="25" t="n">
        <f aca="false">G24*E24</f>
        <v>26496</v>
      </c>
      <c r="I24" s="23"/>
      <c r="J24" s="24" t="n">
        <v>0</v>
      </c>
      <c r="K24" s="25" t="n">
        <f aca="false">E24*J24</f>
        <v>0</v>
      </c>
      <c r="L24" s="23"/>
      <c r="M24" s="24" t="n">
        <v>0</v>
      </c>
      <c r="N24" s="25" t="n">
        <f aca="false">M24*E24</f>
        <v>0</v>
      </c>
      <c r="O24" s="23" t="s">
        <v>85</v>
      </c>
      <c r="P24" s="24" t="n">
        <v>36180</v>
      </c>
      <c r="Q24" s="27" t="n">
        <f aca="false">E24*P24</f>
        <v>36180</v>
      </c>
      <c r="R24" s="28" t="s">
        <v>86</v>
      </c>
      <c r="S24" s="24" t="n">
        <v>26000</v>
      </c>
      <c r="T24" s="29" t="n">
        <f aca="false">S24*E24</f>
        <v>26000</v>
      </c>
      <c r="U24" s="28"/>
      <c r="V24" s="24"/>
      <c r="W24" s="29" t="n">
        <f aca="false">V24*E24</f>
        <v>0</v>
      </c>
      <c r="X24" s="28" t="s">
        <v>87</v>
      </c>
      <c r="Y24" s="26" t="n">
        <v>24780</v>
      </c>
      <c r="Z24" s="29" t="n">
        <f aca="false">Y24*E24</f>
        <v>24780</v>
      </c>
      <c r="AA24" s="28"/>
      <c r="AB24" s="24" t="n">
        <v>0</v>
      </c>
      <c r="AC24" s="29" t="n">
        <f aca="false">AB24*H24</f>
        <v>0</v>
      </c>
      <c r="AD24" s="30" t="n">
        <f aca="false">Y24</f>
        <v>24780</v>
      </c>
      <c r="AE24" s="24" t="n">
        <f aca="false">Z24</f>
        <v>24780</v>
      </c>
      <c r="AF24" s="29" t="s">
        <v>15</v>
      </c>
    </row>
    <row r="25" customFormat="false" ht="165" hidden="false" customHeight="true" outlineLevel="0" collapsed="false">
      <c r="A25" s="18" t="n">
        <v>18</v>
      </c>
      <c r="B25" s="19" t="s">
        <v>88</v>
      </c>
      <c r="C25" s="20" t="s">
        <v>23</v>
      </c>
      <c r="D25" s="21" t="s">
        <v>24</v>
      </c>
      <c r="E25" s="22" t="n">
        <v>4</v>
      </c>
      <c r="F25" s="23" t="s">
        <v>89</v>
      </c>
      <c r="G25" s="31" t="n">
        <v>25740</v>
      </c>
      <c r="H25" s="25" t="n">
        <f aca="false">G25*E25</f>
        <v>102960</v>
      </c>
      <c r="I25" s="23"/>
      <c r="J25" s="24" t="n">
        <v>0</v>
      </c>
      <c r="K25" s="25" t="n">
        <f aca="false">E25*J25</f>
        <v>0</v>
      </c>
      <c r="L25" s="23"/>
      <c r="M25" s="24" t="n">
        <v>0</v>
      </c>
      <c r="N25" s="25" t="n">
        <f aca="false">M25*E25</f>
        <v>0</v>
      </c>
      <c r="O25" s="23" t="s">
        <v>90</v>
      </c>
      <c r="P25" s="24" t="n">
        <v>29940</v>
      </c>
      <c r="Q25" s="27" t="n">
        <f aca="false">P25*2</f>
        <v>59880</v>
      </c>
      <c r="R25" s="28" t="s">
        <v>91</v>
      </c>
      <c r="S25" s="24" t="n">
        <v>25100</v>
      </c>
      <c r="T25" s="29" t="n">
        <f aca="false">S25*E25</f>
        <v>100400</v>
      </c>
      <c r="U25" s="28"/>
      <c r="V25" s="24"/>
      <c r="W25" s="29" t="n">
        <f aca="false">V25*E25</f>
        <v>0</v>
      </c>
      <c r="X25" s="28" t="s">
        <v>92</v>
      </c>
      <c r="Y25" s="26" t="n">
        <v>25680</v>
      </c>
      <c r="Z25" s="29" t="n">
        <f aca="false">Y25*E25</f>
        <v>102720</v>
      </c>
      <c r="AA25" s="28"/>
      <c r="AB25" s="24" t="n">
        <v>0</v>
      </c>
      <c r="AC25" s="29" t="n">
        <f aca="false">AB25*H25</f>
        <v>0</v>
      </c>
      <c r="AD25" s="30" t="n">
        <f aca="false">Y25</f>
        <v>25680</v>
      </c>
      <c r="AE25" s="24" t="n">
        <f aca="false">Z25</f>
        <v>102720</v>
      </c>
      <c r="AF25" s="29" t="s">
        <v>15</v>
      </c>
    </row>
    <row r="26" customFormat="false" ht="165" hidden="false" customHeight="true" outlineLevel="0" collapsed="false">
      <c r="A26" s="18" t="n">
        <v>19</v>
      </c>
      <c r="B26" s="19" t="s">
        <v>93</v>
      </c>
      <c r="C26" s="20" t="s">
        <v>23</v>
      </c>
      <c r="D26" s="21" t="s">
        <v>24</v>
      </c>
      <c r="E26" s="22" t="n">
        <v>2</v>
      </c>
      <c r="F26" s="23" t="s">
        <v>94</v>
      </c>
      <c r="G26" s="31" t="n">
        <v>25740</v>
      </c>
      <c r="H26" s="25" t="n">
        <f aca="false">G26*E26</f>
        <v>51480</v>
      </c>
      <c r="I26" s="23"/>
      <c r="J26" s="24" t="n">
        <v>0</v>
      </c>
      <c r="K26" s="25" t="n">
        <f aca="false">E26*J26</f>
        <v>0</v>
      </c>
      <c r="L26" s="23"/>
      <c r="M26" s="24" t="n">
        <v>0</v>
      </c>
      <c r="N26" s="25" t="n">
        <f aca="false">M26*E26</f>
        <v>0</v>
      </c>
      <c r="O26" s="23" t="s">
        <v>95</v>
      </c>
      <c r="P26" s="24" t="n">
        <v>32100</v>
      </c>
      <c r="Q26" s="27" t="n">
        <f aca="false">E26*P26</f>
        <v>64200</v>
      </c>
      <c r="R26" s="28" t="s">
        <v>96</v>
      </c>
      <c r="S26" s="24" t="n">
        <v>25100</v>
      </c>
      <c r="T26" s="29" t="n">
        <f aca="false">S26*E26</f>
        <v>50200</v>
      </c>
      <c r="U26" s="28"/>
      <c r="V26" s="24"/>
      <c r="W26" s="29" t="n">
        <f aca="false">V26*E26</f>
        <v>0</v>
      </c>
      <c r="X26" s="28" t="s">
        <v>97</v>
      </c>
      <c r="Y26" s="26" t="n">
        <v>25680</v>
      </c>
      <c r="Z26" s="29" t="n">
        <f aca="false">Y26*E26</f>
        <v>51360</v>
      </c>
      <c r="AA26" s="28"/>
      <c r="AB26" s="24" t="n">
        <v>0</v>
      </c>
      <c r="AC26" s="29" t="n">
        <f aca="false">AB26*H26</f>
        <v>0</v>
      </c>
      <c r="AD26" s="30" t="n">
        <f aca="false">Y26</f>
        <v>25680</v>
      </c>
      <c r="AE26" s="24" t="n">
        <f aca="false">Z26</f>
        <v>51360</v>
      </c>
      <c r="AF26" s="29" t="s">
        <v>15</v>
      </c>
    </row>
    <row r="27" customFormat="false" ht="165" hidden="false" customHeight="true" outlineLevel="0" collapsed="false">
      <c r="A27" s="18" t="n">
        <v>20</v>
      </c>
      <c r="B27" s="19" t="s">
        <v>98</v>
      </c>
      <c r="C27" s="20" t="s">
        <v>23</v>
      </c>
      <c r="D27" s="21" t="s">
        <v>99</v>
      </c>
      <c r="E27" s="22" t="n">
        <v>2</v>
      </c>
      <c r="F27" s="23" t="s">
        <v>100</v>
      </c>
      <c r="G27" s="31" t="n">
        <v>25740</v>
      </c>
      <c r="H27" s="25" t="n">
        <f aca="false">G27*E27</f>
        <v>51480</v>
      </c>
      <c r="I27" s="23"/>
      <c r="J27" s="24" t="n">
        <v>0</v>
      </c>
      <c r="K27" s="25" t="n">
        <f aca="false">E27*J27</f>
        <v>0</v>
      </c>
      <c r="L27" s="23"/>
      <c r="M27" s="24" t="n">
        <v>0</v>
      </c>
      <c r="N27" s="25" t="n">
        <f aca="false">M27*E27</f>
        <v>0</v>
      </c>
      <c r="O27" s="23" t="s">
        <v>101</v>
      </c>
      <c r="P27" s="24" t="n">
        <v>32100</v>
      </c>
      <c r="Q27" s="27" t="n">
        <f aca="false">E27*P27</f>
        <v>64200</v>
      </c>
      <c r="R27" s="28" t="s">
        <v>102</v>
      </c>
      <c r="S27" s="24" t="n">
        <v>25100</v>
      </c>
      <c r="T27" s="29" t="n">
        <f aca="false">S27*E27</f>
        <v>50200</v>
      </c>
      <c r="U27" s="28"/>
      <c r="V27" s="24"/>
      <c r="W27" s="29" t="n">
        <f aca="false">V27*E27</f>
        <v>0</v>
      </c>
      <c r="X27" s="28" t="s">
        <v>103</v>
      </c>
      <c r="Y27" s="26" t="n">
        <v>25680</v>
      </c>
      <c r="Z27" s="29" t="n">
        <f aca="false">Y27*E27</f>
        <v>51360</v>
      </c>
      <c r="AA27" s="28"/>
      <c r="AB27" s="24" t="n">
        <v>0</v>
      </c>
      <c r="AC27" s="29" t="n">
        <f aca="false">AB27*H27</f>
        <v>0</v>
      </c>
      <c r="AD27" s="30" t="n">
        <f aca="false">Y27</f>
        <v>25680</v>
      </c>
      <c r="AE27" s="24" t="n">
        <f aca="false">Z27</f>
        <v>51360</v>
      </c>
      <c r="AF27" s="29" t="s">
        <v>15</v>
      </c>
    </row>
    <row r="28" customFormat="false" ht="165" hidden="false" customHeight="true" outlineLevel="0" collapsed="false">
      <c r="A28" s="18" t="n">
        <v>21</v>
      </c>
      <c r="B28" s="19" t="s">
        <v>104</v>
      </c>
      <c r="C28" s="20" t="s">
        <v>23</v>
      </c>
      <c r="D28" s="21" t="s">
        <v>24</v>
      </c>
      <c r="E28" s="22" t="n">
        <v>2</v>
      </c>
      <c r="F28" s="23" t="s">
        <v>105</v>
      </c>
      <c r="G28" s="31" t="n">
        <v>25740</v>
      </c>
      <c r="H28" s="25" t="n">
        <f aca="false">G28*E28</f>
        <v>51480</v>
      </c>
      <c r="I28" s="23"/>
      <c r="J28" s="24" t="n">
        <v>0</v>
      </c>
      <c r="K28" s="25" t="n">
        <f aca="false">E28*J28</f>
        <v>0</v>
      </c>
      <c r="L28" s="23"/>
      <c r="M28" s="24" t="n">
        <v>0</v>
      </c>
      <c r="N28" s="25" t="n">
        <f aca="false">M28*E28</f>
        <v>0</v>
      </c>
      <c r="O28" s="23" t="s">
        <v>106</v>
      </c>
      <c r="P28" s="24" t="n">
        <v>29940</v>
      </c>
      <c r="Q28" s="27" t="n">
        <f aca="false">E28*P28</f>
        <v>59880</v>
      </c>
      <c r="R28" s="28" t="s">
        <v>107</v>
      </c>
      <c r="S28" s="24" t="n">
        <v>25100</v>
      </c>
      <c r="T28" s="29" t="n">
        <f aca="false">S28*E28</f>
        <v>50200</v>
      </c>
      <c r="U28" s="28"/>
      <c r="V28" s="24"/>
      <c r="W28" s="29" t="n">
        <f aca="false">V28*E28</f>
        <v>0</v>
      </c>
      <c r="X28" s="28" t="s">
        <v>108</v>
      </c>
      <c r="Y28" s="26" t="n">
        <v>25680</v>
      </c>
      <c r="Z28" s="29" t="n">
        <f aca="false">Y28*E28</f>
        <v>51360</v>
      </c>
      <c r="AA28" s="28"/>
      <c r="AB28" s="24" t="n">
        <v>0</v>
      </c>
      <c r="AC28" s="29" t="n">
        <f aca="false">AB28*H28</f>
        <v>0</v>
      </c>
      <c r="AD28" s="30" t="n">
        <f aca="false">Y28</f>
        <v>25680</v>
      </c>
      <c r="AE28" s="24" t="n">
        <f aca="false">Z28</f>
        <v>51360</v>
      </c>
      <c r="AF28" s="29" t="s">
        <v>15</v>
      </c>
    </row>
    <row r="29" customFormat="false" ht="27" hidden="false" customHeight="true" outlineLevel="0" collapsed="false">
      <c r="A29" s="32" t="s">
        <v>109</v>
      </c>
      <c r="B29" s="32"/>
      <c r="C29" s="32"/>
      <c r="D29" s="32"/>
      <c r="E29" s="32"/>
      <c r="F29" s="33"/>
      <c r="G29" s="34"/>
      <c r="H29" s="35" t="n">
        <f aca="false">SUM(H8:H28)</f>
        <v>387405</v>
      </c>
      <c r="I29" s="33"/>
      <c r="J29" s="34"/>
      <c r="K29" s="35" t="n">
        <f aca="false">SUM(K8:K28)</f>
        <v>204303.23</v>
      </c>
      <c r="L29" s="36"/>
      <c r="M29" s="34"/>
      <c r="N29" s="37" t="n">
        <f aca="false">SUM(N8:N28)</f>
        <v>94900</v>
      </c>
      <c r="O29" s="33"/>
      <c r="P29" s="34"/>
      <c r="Q29" s="35" t="n">
        <f aca="false">SUM(Q8:Q28)</f>
        <v>361380</v>
      </c>
      <c r="R29" s="36"/>
      <c r="S29" s="34"/>
      <c r="T29" s="37" t="n">
        <f aca="false">SUM(T8:T28)</f>
        <v>609139.99</v>
      </c>
      <c r="U29" s="36"/>
      <c r="V29" s="34"/>
      <c r="W29" s="37" t="n">
        <f aca="false">SUM(W8:W28)</f>
        <v>172489.3</v>
      </c>
      <c r="X29" s="36"/>
      <c r="Y29" s="34"/>
      <c r="Z29" s="37" t="n">
        <f aca="false">SUM(Z8:Z28)</f>
        <v>350412</v>
      </c>
      <c r="AA29" s="36"/>
      <c r="AB29" s="34"/>
      <c r="AC29" s="37" t="n">
        <f aca="false">SUM(AC8:AC28)</f>
        <v>206177</v>
      </c>
      <c r="AD29" s="38"/>
      <c r="AE29" s="39" t="n">
        <f aca="false">SUM(AE8:AE28)</f>
        <v>579107.34</v>
      </c>
      <c r="AF29" s="40"/>
    </row>
    <row r="30" customFormat="false" ht="27" hidden="false" customHeight="true" outlineLevel="0" collapsed="false">
      <c r="A30" s="41" t="s">
        <v>110</v>
      </c>
      <c r="B30" s="41"/>
      <c r="C30" s="41"/>
      <c r="D30" s="41"/>
      <c r="E30" s="41"/>
      <c r="F30" s="42"/>
      <c r="G30" s="43"/>
      <c r="H30" s="44" t="n">
        <f aca="false">H29*20/120</f>
        <v>64567.5</v>
      </c>
      <c r="I30" s="42"/>
      <c r="J30" s="43"/>
      <c r="K30" s="44" t="n">
        <f aca="false">K29*20/120</f>
        <v>34050.5383333333</v>
      </c>
      <c r="L30" s="45"/>
      <c r="M30" s="46"/>
      <c r="N30" s="47" t="n">
        <f aca="false">N29*20/120</f>
        <v>15816.6666666667</v>
      </c>
      <c r="O30" s="42"/>
      <c r="P30" s="43"/>
      <c r="Q30" s="44" t="n">
        <f aca="false">Q29*20/120</f>
        <v>60230</v>
      </c>
      <c r="R30" s="45"/>
      <c r="S30" s="46"/>
      <c r="T30" s="47" t="n">
        <f aca="false">T29*20/120</f>
        <v>101523.331666667</v>
      </c>
      <c r="U30" s="45"/>
      <c r="V30" s="46"/>
      <c r="W30" s="47" t="n">
        <f aca="false">W29*20/120</f>
        <v>28748.2166666667</v>
      </c>
      <c r="X30" s="45"/>
      <c r="Y30" s="46"/>
      <c r="Z30" s="47" t="n">
        <f aca="false">Z29*20/120</f>
        <v>58402</v>
      </c>
      <c r="AA30" s="45"/>
      <c r="AB30" s="46"/>
      <c r="AC30" s="47" t="n">
        <f aca="false">AC29*20/120</f>
        <v>34362.8333333333</v>
      </c>
      <c r="AD30" s="48"/>
      <c r="AE30" s="49" t="n">
        <f aca="false">AE29*20/120</f>
        <v>96517.89</v>
      </c>
      <c r="AF30" s="50"/>
    </row>
    <row r="31" customFormat="false" ht="63" hidden="false" customHeight="true" outlineLevel="0" collapsed="false">
      <c r="A31" s="51" t="s">
        <v>111</v>
      </c>
      <c r="B31" s="51"/>
      <c r="C31" s="51"/>
      <c r="D31" s="51"/>
      <c r="E31" s="51"/>
      <c r="F31" s="52" t="s">
        <v>112</v>
      </c>
      <c r="G31" s="52"/>
      <c r="H31" s="52"/>
      <c r="I31" s="52" t="s">
        <v>112</v>
      </c>
      <c r="J31" s="52"/>
      <c r="K31" s="52"/>
      <c r="L31" s="52" t="s">
        <v>112</v>
      </c>
      <c r="M31" s="52"/>
      <c r="N31" s="52"/>
      <c r="O31" s="52" t="s">
        <v>113</v>
      </c>
      <c r="P31" s="52"/>
      <c r="Q31" s="52"/>
      <c r="R31" s="52" t="s">
        <v>112</v>
      </c>
      <c r="S31" s="52"/>
      <c r="T31" s="52"/>
      <c r="U31" s="52" t="s">
        <v>112</v>
      </c>
      <c r="V31" s="52"/>
      <c r="W31" s="52"/>
      <c r="X31" s="52" t="s">
        <v>112</v>
      </c>
      <c r="Y31" s="52"/>
      <c r="Z31" s="52"/>
      <c r="AA31" s="52" t="s">
        <v>112</v>
      </c>
      <c r="AB31" s="52"/>
      <c r="AC31" s="52"/>
      <c r="AD31" s="53" t="s">
        <v>114</v>
      </c>
      <c r="AE31" s="53"/>
      <c r="AF31" s="53"/>
    </row>
    <row r="32" customFormat="false" ht="63" hidden="false" customHeight="true" outlineLevel="0" collapsed="false">
      <c r="A32" s="54" t="s">
        <v>115</v>
      </c>
      <c r="B32" s="54"/>
      <c r="C32" s="54"/>
      <c r="D32" s="54"/>
      <c r="E32" s="54"/>
      <c r="F32" s="21" t="s">
        <v>116</v>
      </c>
      <c r="G32" s="21"/>
      <c r="H32" s="21"/>
      <c r="I32" s="21" t="s">
        <v>117</v>
      </c>
      <c r="J32" s="21"/>
      <c r="K32" s="21"/>
      <c r="L32" s="21" t="s">
        <v>118</v>
      </c>
      <c r="M32" s="21"/>
      <c r="N32" s="21"/>
      <c r="O32" s="21" t="s">
        <v>119</v>
      </c>
      <c r="P32" s="21"/>
      <c r="Q32" s="21"/>
      <c r="R32" s="21" t="s">
        <v>118</v>
      </c>
      <c r="S32" s="21"/>
      <c r="T32" s="21"/>
      <c r="U32" s="21" t="s">
        <v>120</v>
      </c>
      <c r="V32" s="21"/>
      <c r="W32" s="21"/>
      <c r="X32" s="21" t="s">
        <v>118</v>
      </c>
      <c r="Y32" s="21"/>
      <c r="Z32" s="21"/>
      <c r="AA32" s="21" t="s">
        <v>121</v>
      </c>
      <c r="AB32" s="21"/>
      <c r="AC32" s="21"/>
      <c r="AD32" s="53"/>
      <c r="AE32" s="53"/>
      <c r="AF32" s="53"/>
    </row>
    <row r="33" customFormat="false" ht="63" hidden="false" customHeight="true" outlineLevel="0" collapsed="false">
      <c r="A33" s="54" t="s">
        <v>122</v>
      </c>
      <c r="B33" s="54"/>
      <c r="C33" s="54"/>
      <c r="D33" s="54"/>
      <c r="E33" s="54"/>
      <c r="F33" s="21" t="s">
        <v>123</v>
      </c>
      <c r="G33" s="21"/>
      <c r="H33" s="21"/>
      <c r="I33" s="21" t="s">
        <v>123</v>
      </c>
      <c r="J33" s="21"/>
      <c r="K33" s="21"/>
      <c r="L33" s="21" t="s">
        <v>123</v>
      </c>
      <c r="M33" s="21"/>
      <c r="N33" s="21"/>
      <c r="O33" s="21" t="s">
        <v>123</v>
      </c>
      <c r="P33" s="21"/>
      <c r="Q33" s="21"/>
      <c r="R33" s="21" t="s">
        <v>123</v>
      </c>
      <c r="S33" s="21"/>
      <c r="T33" s="21"/>
      <c r="U33" s="21" t="s">
        <v>123</v>
      </c>
      <c r="V33" s="21"/>
      <c r="W33" s="21"/>
      <c r="X33" s="21" t="s">
        <v>123</v>
      </c>
      <c r="Y33" s="21"/>
      <c r="Z33" s="21"/>
      <c r="AA33" s="21" t="s">
        <v>123</v>
      </c>
      <c r="AB33" s="21"/>
      <c r="AC33" s="21"/>
      <c r="AD33" s="53"/>
      <c r="AE33" s="53"/>
      <c r="AF33" s="53"/>
    </row>
    <row r="34" customFormat="false" ht="63" hidden="false" customHeight="true" outlineLevel="0" collapsed="false">
      <c r="A34" s="54" t="s">
        <v>124</v>
      </c>
      <c r="B34" s="54"/>
      <c r="C34" s="54"/>
      <c r="D34" s="54"/>
      <c r="E34" s="54"/>
      <c r="F34" s="21"/>
      <c r="G34" s="21"/>
      <c r="H34" s="21"/>
      <c r="I34" s="21"/>
      <c r="J34" s="21"/>
      <c r="K34" s="21"/>
      <c r="L34" s="21"/>
      <c r="M34" s="21"/>
      <c r="N34" s="21"/>
      <c r="O34" s="55"/>
      <c r="P34" s="55"/>
      <c r="Q34" s="55"/>
      <c r="R34" s="55" t="s">
        <v>125</v>
      </c>
      <c r="S34" s="55"/>
      <c r="T34" s="55"/>
      <c r="U34" s="21"/>
      <c r="V34" s="21"/>
      <c r="W34" s="21"/>
      <c r="X34" s="24"/>
      <c r="Y34" s="24"/>
      <c r="Z34" s="24"/>
      <c r="AA34" s="21"/>
      <c r="AB34" s="21"/>
      <c r="AC34" s="21"/>
      <c r="AD34" s="53"/>
      <c r="AE34" s="53"/>
      <c r="AF34" s="53"/>
    </row>
    <row r="35" customFormat="false" ht="63" hidden="false" customHeight="true" outlineLevel="0" collapsed="false">
      <c r="A35" s="54" t="s">
        <v>126</v>
      </c>
      <c r="B35" s="54"/>
      <c r="C35" s="54"/>
      <c r="D35" s="54"/>
      <c r="E35" s="54"/>
      <c r="F35" s="21"/>
      <c r="G35" s="21"/>
      <c r="H35" s="21"/>
      <c r="I35" s="43" t="n">
        <v>33924.09</v>
      </c>
      <c r="J35" s="43"/>
      <c r="K35" s="43"/>
      <c r="L35" s="43" t="n">
        <v>94900</v>
      </c>
      <c r="M35" s="43"/>
      <c r="N35" s="43"/>
      <c r="O35" s="43"/>
      <c r="P35" s="43"/>
      <c r="Q35" s="43"/>
      <c r="R35" s="43" t="n">
        <v>45866.52</v>
      </c>
      <c r="S35" s="43"/>
      <c r="T35" s="43"/>
      <c r="U35" s="43" t="n">
        <v>54004.73</v>
      </c>
      <c r="V35" s="43"/>
      <c r="W35" s="43"/>
      <c r="X35" s="43" t="n">
        <v>350412</v>
      </c>
      <c r="Y35" s="43"/>
      <c r="Z35" s="43"/>
      <c r="AA35" s="21"/>
      <c r="AB35" s="21"/>
      <c r="AC35" s="21"/>
      <c r="AD35" s="53"/>
      <c r="AE35" s="53"/>
      <c r="AF35" s="53"/>
    </row>
    <row r="36" customFormat="false" ht="63" hidden="false" customHeight="true" outlineLevel="0" collapsed="false">
      <c r="A36" s="54" t="s">
        <v>127</v>
      </c>
      <c r="B36" s="54"/>
      <c r="C36" s="54"/>
      <c r="D36" s="54"/>
      <c r="E36" s="54"/>
      <c r="F36" s="21"/>
      <c r="G36" s="21"/>
      <c r="H36" s="21"/>
      <c r="I36" s="21" t="n">
        <v>3</v>
      </c>
      <c r="J36" s="21"/>
      <c r="K36" s="21"/>
      <c r="L36" s="21" t="n">
        <v>1</v>
      </c>
      <c r="M36" s="21"/>
      <c r="N36" s="21"/>
      <c r="O36" s="21"/>
      <c r="P36" s="21"/>
      <c r="Q36" s="21"/>
      <c r="R36" s="21" t="n">
        <v>2</v>
      </c>
      <c r="S36" s="21"/>
      <c r="T36" s="21"/>
      <c r="U36" s="21" t="n">
        <v>3</v>
      </c>
      <c r="V36" s="21"/>
      <c r="W36" s="21"/>
      <c r="X36" s="21" t="n">
        <v>12</v>
      </c>
      <c r="Y36" s="21"/>
      <c r="Z36" s="21"/>
      <c r="AA36" s="21"/>
      <c r="AB36" s="21"/>
      <c r="AC36" s="21"/>
      <c r="AD36" s="53"/>
      <c r="AE36" s="53"/>
      <c r="AF36" s="53"/>
    </row>
    <row r="37" customFormat="false" ht="90.75" hidden="false" customHeight="true" outlineLevel="0" collapsed="false">
      <c r="A37" s="56" t="s">
        <v>128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customFormat="false" ht="90.75" hidden="false" customHeight="true" outlineLevel="0" collapsed="false">
      <c r="A38" s="57" t="s">
        <v>129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</sheetData>
  <mergeCells count="85">
    <mergeCell ref="A1:AF1"/>
    <mergeCell ref="A2:AF2"/>
    <mergeCell ref="A3:AC3"/>
    <mergeCell ref="A4:AC4"/>
    <mergeCell ref="A5:A7"/>
    <mergeCell ref="B5:B7"/>
    <mergeCell ref="C5:C7"/>
    <mergeCell ref="D5:D7"/>
    <mergeCell ref="E5:E7"/>
    <mergeCell ref="F5:H5"/>
    <mergeCell ref="I5:K5"/>
    <mergeCell ref="L5:N5"/>
    <mergeCell ref="O5:Q5"/>
    <mergeCell ref="R5:T5"/>
    <mergeCell ref="U5:W5"/>
    <mergeCell ref="X5:Z5"/>
    <mergeCell ref="AA5:AC5"/>
    <mergeCell ref="AD5:AF6"/>
    <mergeCell ref="F6:H6"/>
    <mergeCell ref="I6:K6"/>
    <mergeCell ref="L6:N6"/>
    <mergeCell ref="O6:Q6"/>
    <mergeCell ref="R6:T6"/>
    <mergeCell ref="U6:W6"/>
    <mergeCell ref="X6:Z6"/>
    <mergeCell ref="AA6:AC6"/>
    <mergeCell ref="A29:E29"/>
    <mergeCell ref="A30:E30"/>
    <mergeCell ref="A31:E31"/>
    <mergeCell ref="F31:H31"/>
    <mergeCell ref="I31:K31"/>
    <mergeCell ref="L31:N31"/>
    <mergeCell ref="O31:Q31"/>
    <mergeCell ref="R31:T31"/>
    <mergeCell ref="U31:W31"/>
    <mergeCell ref="X31:Z31"/>
    <mergeCell ref="AA31:AC31"/>
    <mergeCell ref="AD31:AF36"/>
    <mergeCell ref="A32:E32"/>
    <mergeCell ref="F32:H32"/>
    <mergeCell ref="I32:K32"/>
    <mergeCell ref="L32:N32"/>
    <mergeCell ref="O32:Q32"/>
    <mergeCell ref="R32:T32"/>
    <mergeCell ref="U32:W32"/>
    <mergeCell ref="X32:Z32"/>
    <mergeCell ref="AA32:AC32"/>
    <mergeCell ref="A33:E33"/>
    <mergeCell ref="F33:H33"/>
    <mergeCell ref="I33:K33"/>
    <mergeCell ref="L33:N33"/>
    <mergeCell ref="O33:Q33"/>
    <mergeCell ref="R33:T33"/>
    <mergeCell ref="U33:W33"/>
    <mergeCell ref="X33:Z33"/>
    <mergeCell ref="AA33:AC33"/>
    <mergeCell ref="A34:E34"/>
    <mergeCell ref="F34:H34"/>
    <mergeCell ref="I34:K34"/>
    <mergeCell ref="L34:N34"/>
    <mergeCell ref="O34:Q34"/>
    <mergeCell ref="R34:T34"/>
    <mergeCell ref="U34:W34"/>
    <mergeCell ref="X34:Z34"/>
    <mergeCell ref="AA34:AC34"/>
    <mergeCell ref="A35:E35"/>
    <mergeCell ref="F35:H35"/>
    <mergeCell ref="I35:K35"/>
    <mergeCell ref="L35:N35"/>
    <mergeCell ref="O35:Q35"/>
    <mergeCell ref="R35:T35"/>
    <mergeCell ref="U35:W35"/>
    <mergeCell ref="X35:Z35"/>
    <mergeCell ref="AA35:AC35"/>
    <mergeCell ref="A36:E36"/>
    <mergeCell ref="F36:H36"/>
    <mergeCell ref="I36:K36"/>
    <mergeCell ref="L36:N36"/>
    <mergeCell ref="O36:Q36"/>
    <mergeCell ref="R36:T36"/>
    <mergeCell ref="U36:W36"/>
    <mergeCell ref="X36:Z36"/>
    <mergeCell ref="AA36:AC36"/>
    <mergeCell ref="A37:AC37"/>
    <mergeCell ref="A38:AC38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0:Z4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2" activeCellId="0" sqref="A22:AA42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0" width="51.99"/>
    <col collapsed="false" customWidth="true" hidden="false" outlineLevel="0" max="2" min="2" style="0" width="25.7"/>
    <col collapsed="false" customWidth="true" hidden="false" outlineLevel="0" max="4" min="4" style="0" width="6.13"/>
    <col collapsed="false" customWidth="true" hidden="false" outlineLevel="0" max="7" min="7" style="0" width="17.7"/>
  </cols>
  <sheetData>
    <row r="30" customFormat="false" ht="74.25" hidden="false" customHeight="true" outlineLevel="0" collapsed="false">
      <c r="A30" s="58"/>
      <c r="B30" s="59"/>
      <c r="C30" s="60"/>
      <c r="D30" s="61"/>
      <c r="E30" s="62"/>
      <c r="F30" s="63"/>
      <c r="G30" s="64"/>
      <c r="H30" s="65"/>
      <c r="I30" s="63"/>
      <c r="J30" s="66"/>
      <c r="K30" s="65"/>
      <c r="L30" s="67"/>
      <c r="M30" s="66"/>
      <c r="N30" s="68"/>
      <c r="O30" s="67"/>
      <c r="P30" s="66"/>
      <c r="Q30" s="68"/>
      <c r="R30" s="67"/>
      <c r="S30" s="66"/>
      <c r="T30" s="68"/>
      <c r="U30" s="67"/>
      <c r="V30" s="66"/>
      <c r="W30" s="68"/>
      <c r="X30" s="69"/>
      <c r="Y30" s="66"/>
      <c r="Z30" s="65"/>
    </row>
    <row r="31" customFormat="false" ht="68.25" hidden="false" customHeight="true" outlineLevel="0" collapsed="false">
      <c r="A31" s="58"/>
      <c r="B31" s="59"/>
      <c r="C31" s="60"/>
      <c r="D31" s="61"/>
      <c r="E31" s="62"/>
      <c r="F31" s="63"/>
      <c r="G31" s="66"/>
      <c r="H31" s="65"/>
      <c r="I31" s="63"/>
      <c r="J31" s="66"/>
      <c r="K31" s="65"/>
      <c r="L31" s="67"/>
      <c r="M31" s="66"/>
      <c r="N31" s="68"/>
      <c r="O31" s="67"/>
      <c r="P31" s="64"/>
      <c r="Q31" s="68"/>
      <c r="R31" s="67"/>
      <c r="S31" s="66"/>
      <c r="T31" s="68"/>
      <c r="U31" s="67"/>
      <c r="V31" s="66"/>
      <c r="W31" s="68"/>
      <c r="X31" s="69"/>
      <c r="Y31" s="66"/>
      <c r="Z31" s="65"/>
    </row>
    <row r="32" customFormat="false" ht="70.5" hidden="false" customHeight="true" outlineLevel="0" collapsed="false">
      <c r="A32" s="58"/>
      <c r="B32" s="59"/>
      <c r="C32" s="60"/>
      <c r="D32" s="61"/>
      <c r="E32" s="62"/>
      <c r="F32" s="63"/>
      <c r="G32" s="66"/>
      <c r="H32" s="65"/>
      <c r="I32" s="63"/>
      <c r="J32" s="66"/>
      <c r="K32" s="65"/>
      <c r="L32" s="67"/>
      <c r="M32" s="66"/>
      <c r="N32" s="68"/>
      <c r="O32" s="67"/>
      <c r="P32" s="64"/>
      <c r="Q32" s="68"/>
      <c r="R32" s="67"/>
      <c r="S32" s="66"/>
      <c r="T32" s="68"/>
      <c r="U32" s="67"/>
      <c r="V32" s="66"/>
      <c r="W32" s="68"/>
      <c r="X32" s="69"/>
      <c r="Y32" s="66"/>
      <c r="Z32" s="65"/>
    </row>
    <row r="33" customFormat="false" ht="66.75" hidden="false" customHeight="true" outlineLevel="0" collapsed="false">
      <c r="A33" s="58"/>
      <c r="B33" s="59"/>
      <c r="C33" s="60"/>
      <c r="D33" s="61"/>
      <c r="E33" s="62"/>
      <c r="F33" s="63"/>
      <c r="G33" s="66"/>
      <c r="H33" s="65"/>
      <c r="I33" s="63"/>
      <c r="J33" s="66"/>
      <c r="K33" s="65"/>
      <c r="L33" s="67"/>
      <c r="M33" s="66"/>
      <c r="N33" s="68"/>
      <c r="O33" s="67"/>
      <c r="P33" s="64"/>
      <c r="Q33" s="68"/>
      <c r="R33" s="67"/>
      <c r="S33" s="66"/>
      <c r="T33" s="68"/>
      <c r="U33" s="67"/>
      <c r="V33" s="66"/>
      <c r="W33" s="68"/>
      <c r="X33" s="69"/>
      <c r="Y33" s="66"/>
      <c r="Z33" s="65"/>
    </row>
    <row r="34" customFormat="false" ht="83.25" hidden="false" customHeight="true" outlineLevel="0" collapsed="false">
      <c r="A34" s="58"/>
      <c r="B34" s="59"/>
      <c r="C34" s="60"/>
      <c r="D34" s="61"/>
      <c r="E34" s="62"/>
      <c r="F34" s="63"/>
      <c r="G34" s="64"/>
      <c r="H34" s="65"/>
      <c r="I34" s="63"/>
      <c r="J34" s="66"/>
      <c r="K34" s="65"/>
      <c r="L34" s="67"/>
      <c r="M34" s="66"/>
      <c r="N34" s="68"/>
      <c r="O34" s="67"/>
      <c r="P34" s="66"/>
      <c r="Q34" s="68"/>
      <c r="R34" s="67"/>
      <c r="S34" s="66"/>
      <c r="T34" s="68"/>
      <c r="U34" s="67"/>
      <c r="V34" s="66"/>
      <c r="W34" s="68"/>
      <c r="X34" s="69"/>
      <c r="Y34" s="66"/>
      <c r="Z34" s="65"/>
    </row>
    <row r="35" customFormat="false" ht="90.75" hidden="false" customHeight="true" outlineLevel="0" collapsed="false">
      <c r="A35" s="58"/>
      <c r="B35" s="59"/>
      <c r="C35" s="60"/>
      <c r="D35" s="61"/>
      <c r="E35" s="62"/>
      <c r="F35" s="63"/>
      <c r="G35" s="66"/>
      <c r="H35" s="65"/>
      <c r="I35" s="63"/>
      <c r="J35" s="66"/>
      <c r="K35" s="65"/>
      <c r="L35" s="67"/>
      <c r="M35" s="66"/>
      <c r="N35" s="68"/>
      <c r="O35" s="67"/>
      <c r="P35" s="64"/>
      <c r="Q35" s="68"/>
      <c r="R35" s="67"/>
      <c r="S35" s="66"/>
      <c r="T35" s="68"/>
      <c r="U35" s="67"/>
      <c r="V35" s="66"/>
      <c r="W35" s="68"/>
      <c r="X35" s="69"/>
      <c r="Y35" s="66"/>
      <c r="Z35" s="65"/>
    </row>
    <row r="36" customFormat="false" ht="85.5" hidden="false" customHeight="true" outlineLevel="0" collapsed="false">
      <c r="A36" s="58"/>
      <c r="B36" s="59"/>
      <c r="C36" s="70"/>
      <c r="D36" s="61"/>
      <c r="E36" s="71"/>
      <c r="F36" s="63"/>
      <c r="G36" s="72"/>
      <c r="H36" s="65"/>
      <c r="I36" s="73"/>
      <c r="J36" s="74"/>
      <c r="K36" s="65"/>
      <c r="L36" s="67"/>
      <c r="M36" s="74"/>
      <c r="N36" s="68"/>
      <c r="O36" s="67"/>
      <c r="P36" s="74"/>
      <c r="Q36" s="68"/>
      <c r="R36" s="67"/>
      <c r="S36" s="74"/>
      <c r="T36" s="68"/>
      <c r="U36" s="67"/>
      <c r="V36" s="74"/>
      <c r="W36" s="68"/>
      <c r="X36" s="69"/>
      <c r="Y36" s="66"/>
      <c r="Z36" s="65"/>
    </row>
    <row r="37" customFormat="false" ht="54.75" hidden="false" customHeight="true" outlineLevel="0" collapsed="false">
      <c r="A37" s="58"/>
      <c r="B37" s="59"/>
      <c r="C37" s="75"/>
      <c r="D37" s="61"/>
      <c r="E37" s="71"/>
      <c r="F37" s="73"/>
      <c r="G37" s="74"/>
      <c r="H37" s="65"/>
      <c r="I37" s="73"/>
      <c r="J37" s="74"/>
      <c r="K37" s="65"/>
      <c r="L37" s="67"/>
      <c r="M37" s="74"/>
      <c r="N37" s="68"/>
      <c r="O37" s="67"/>
      <c r="P37" s="72"/>
      <c r="Q37" s="68"/>
      <c r="R37" s="67"/>
      <c r="S37" s="74"/>
      <c r="T37" s="68"/>
      <c r="U37" s="67"/>
      <c r="V37" s="74"/>
      <c r="W37" s="68"/>
      <c r="X37" s="69"/>
      <c r="Y37" s="66"/>
      <c r="Z37" s="65"/>
    </row>
    <row r="38" customFormat="false" ht="14.25" hidden="false" customHeight="true" outlineLevel="0" collapsed="false">
      <c r="A38" s="76"/>
      <c r="B38" s="76"/>
      <c r="C38" s="76"/>
      <c r="D38" s="76"/>
      <c r="E38" s="76"/>
      <c r="F38" s="77"/>
      <c r="G38" s="78"/>
      <c r="H38" s="79"/>
      <c r="I38" s="77"/>
      <c r="J38" s="78"/>
      <c r="K38" s="79"/>
      <c r="L38" s="80"/>
      <c r="M38" s="81"/>
      <c r="N38" s="82"/>
      <c r="O38" s="80"/>
      <c r="P38" s="81"/>
      <c r="Q38" s="82"/>
      <c r="R38" s="80"/>
      <c r="S38" s="81"/>
      <c r="T38" s="82"/>
      <c r="U38" s="80"/>
      <c r="V38" s="81"/>
      <c r="W38" s="82"/>
      <c r="X38" s="83"/>
      <c r="Y38" s="78"/>
      <c r="Z38" s="79"/>
    </row>
    <row r="39" customFormat="false" ht="15" hidden="false" customHeight="true" outlineLevel="0" collapsed="false">
      <c r="A39" s="84"/>
      <c r="B39" s="84"/>
      <c r="C39" s="84"/>
      <c r="D39" s="84"/>
      <c r="E39" s="84"/>
      <c r="F39" s="85"/>
      <c r="G39" s="86"/>
      <c r="H39" s="87"/>
      <c r="I39" s="85"/>
      <c r="J39" s="86"/>
      <c r="K39" s="87"/>
      <c r="L39" s="88"/>
      <c r="M39" s="89"/>
      <c r="N39" s="90"/>
      <c r="O39" s="88"/>
      <c r="P39" s="89"/>
      <c r="Q39" s="90"/>
      <c r="R39" s="88"/>
      <c r="S39" s="89"/>
      <c r="T39" s="90"/>
      <c r="U39" s="88"/>
      <c r="V39" s="89"/>
      <c r="W39" s="90"/>
      <c r="X39" s="91"/>
      <c r="Y39" s="92"/>
      <c r="Z39" s="90"/>
    </row>
    <row r="40" customFormat="false" ht="15" hidden="false" customHeight="true" outlineLevel="0" collapsed="false">
      <c r="A40" s="93"/>
      <c r="B40" s="93"/>
      <c r="C40" s="93"/>
      <c r="D40" s="93"/>
      <c r="E40" s="93"/>
      <c r="F40" s="94"/>
      <c r="G40" s="95"/>
      <c r="H40" s="96"/>
      <c r="I40" s="94"/>
      <c r="J40" s="95"/>
      <c r="K40" s="96"/>
      <c r="L40" s="97"/>
      <c r="M40" s="98"/>
      <c r="N40" s="99"/>
      <c r="O40" s="97"/>
      <c r="P40" s="98"/>
      <c r="Q40" s="99"/>
      <c r="R40" s="97"/>
      <c r="S40" s="98"/>
      <c r="T40" s="99"/>
      <c r="U40" s="97"/>
      <c r="V40" s="98"/>
      <c r="W40" s="99"/>
      <c r="X40" s="100"/>
      <c r="Y40" s="95"/>
      <c r="Z40" s="96"/>
    </row>
  </sheetData>
  <mergeCells count="3">
    <mergeCell ref="A38:E38"/>
    <mergeCell ref="A39:E39"/>
    <mergeCell ref="A40:E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8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:C13"/>
    </sheetView>
  </sheetViews>
  <sheetFormatPr defaultColWidth="8.96484375" defaultRowHeight="15" customHeight="true" zeroHeight="false" outlineLevelRow="0" outlineLevelCol="0"/>
  <cols>
    <col collapsed="false" customWidth="true" hidden="false" outlineLevel="0" max="3" min="3" style="0" width="66.56"/>
  </cols>
  <sheetData>
    <row r="8" customFormat="false" ht="15" hidden="false" customHeight="false" outlineLevel="0" collapsed="false">
      <c r="C8" s="0" t="s">
        <v>130</v>
      </c>
    </row>
    <row r="9" customFormat="false" ht="15" hidden="false" customHeight="false" outlineLevel="0" collapsed="false">
      <c r="C9" s="0" t="s">
        <v>131</v>
      </c>
    </row>
    <row r="10" customFormat="false" ht="15" hidden="false" customHeight="false" outlineLevel="0" collapsed="false">
      <c r="C10" s="0" t="s">
        <v>132</v>
      </c>
    </row>
    <row r="11" customFormat="false" ht="15" hidden="false" customHeight="false" outlineLevel="0" collapsed="false">
      <c r="C11" s="0" t="s">
        <v>133</v>
      </c>
    </row>
    <row r="12" customFormat="false" ht="15" hidden="false" customHeight="false" outlineLevel="0" collapsed="false">
      <c r="C12" s="0" t="s">
        <v>134</v>
      </c>
    </row>
    <row r="13" customFormat="false" ht="15" hidden="false" customHeight="false" outlineLevel="0" collapsed="false">
      <c r="C13" s="101" t="s">
        <v>135</v>
      </c>
    </row>
    <row r="19" customFormat="false" ht="15" hidden="false" customHeight="false" outlineLevel="0" collapsed="false">
      <c r="C19" s="101"/>
    </row>
    <row r="27" customFormat="false" ht="15" hidden="false" customHeight="false" outlineLevel="0" collapsed="false">
      <c r="C27" s="10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2014-11-05T12:25:21Z</dcterms:created>
  <dc:creator>Трущева Юлия</dc:creator>
  <dc:description/>
  <dc:language>en-US</dc:language>
  <cp:lastModifiedBy>Молодкина Валентина Сергеевна</cp:lastModifiedBy>
  <cp:lastPrinted>2025-02-28T12:08:10Z</cp:lastPrinted>
  <dcterms:modified xsi:type="dcterms:W3CDTF">2025-02-28T12:10:40Z</dcterms:modified>
  <cp:revision>0</cp:revision>
  <dc:subject/>
  <dc:title/>
</cp:coreProperties>
</file>