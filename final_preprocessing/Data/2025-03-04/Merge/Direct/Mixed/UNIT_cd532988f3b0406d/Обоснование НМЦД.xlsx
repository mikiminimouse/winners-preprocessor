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630" yWindow="570" windowWidth="27495" windowHeight="11700"/>
  </bookViews>
  <sheets>
    <sheet name="Для подписания" sheetId="1" r:id="rId1"/>
  </sheets>
  <definedNames>
    <definedName name="_xlnm.Print_Area" localSheetId="0">'Для подписания'!$A$1:$J$28</definedName>
  </definedNames>
  <calcPr calcId="145621"/>
</workbook>
</file>

<file path=xl/calcChain.xml><?xml version="1.0" encoding="utf-8"?>
<calcChain xmlns="http://schemas.openxmlformats.org/spreadsheetml/2006/main">
  <c r="I15" i="1" l="1"/>
  <c r="H15" i="1"/>
  <c r="G15" i="1"/>
  <c r="K7" i="1"/>
</calcChain>
</file>

<file path=xl/sharedStrings.xml><?xml version="1.0" encoding="utf-8"?>
<sst xmlns="http://schemas.openxmlformats.org/spreadsheetml/2006/main" count="60" uniqueCount="54">
  <si>
    <t xml:space="preserve">конкурс </t>
  </si>
  <si>
    <r>
      <rPr>
        <b/>
        <sz val="11"/>
        <color rgb="FF000000"/>
        <rFont val="Liberation Serif"/>
      </rPr>
      <t xml:space="preserve">Обоснование начальной (максимальной) цены договора </t>
    </r>
    <r>
      <rPr>
        <b/>
        <sz val="11"/>
        <color rgb="FF000000"/>
        <rFont val="Liberation Serif"/>
      </rPr>
      <t>расчетным методом</t>
    </r>
  </si>
  <si>
    <t>конкурс в электронной форме</t>
  </si>
  <si>
    <t>закрытый конкурс</t>
  </si>
  <si>
    <t>аукцион в электронной форме</t>
  </si>
  <si>
    <r>
      <rPr>
        <vertAlign val="superscript"/>
        <sz val="13"/>
        <color theme="1"/>
        <rFont val="Liberation Serif"/>
      </rPr>
      <t>(предмет договора)</t>
    </r>
  </si>
  <si>
    <t>не превышать 1000</t>
  </si>
  <si>
    <t>закрытый аукцион</t>
  </si>
  <si>
    <r>
      <rPr>
        <sz val="13"/>
        <color rgb="FF000000"/>
        <rFont val="Liberation Serif"/>
      </rPr>
      <t>Основные характеристики предмета закупки:</t>
    </r>
  </si>
  <si>
    <r>
      <rPr>
        <sz val="13"/>
        <color rgb="FF000000"/>
        <rFont val="Liberation Serif"/>
      </rPr>
      <t>Описание предмета закупки:</t>
    </r>
  </si>
  <si>
    <r>
      <rPr>
        <sz val="13"/>
        <color rgb="FF000000"/>
        <rFont val="Liberation Serif"/>
      </rPr>
      <t xml:space="preserve">Закупка осуществляется в целях </t>
    </r>
    <r>
      <rPr>
        <sz val="13"/>
        <color rgb="FF000000"/>
        <rFont val="Liberation Serif"/>
      </rPr>
      <t xml:space="preserve">измерения и анализа основных показателей качества электроэнергии в соответствии с ГОСТ 3244-2013 для определения соответствия параметров электрической энергии их установленным значениям, </t>
    </r>
    <r>
      <rPr>
        <sz val="13"/>
        <color rgb="FF000000"/>
        <rFont val="Times New Roman"/>
      </rPr>
      <t>для обеспечения бесперебойного предоставления аэронавигационных услуг, обеспечения безопасности и регулярности полётов в соответствии с требованиями Федеральных авиационных правил "Радиотехническое обеспечение полетов воздушных судов и авиационная электросвязь в гражданской авиации", утвержденными Приказом Министерства транспорта РФ от 20.10.2014 № 297.</t>
    </r>
    <r>
      <rPr>
        <sz val="11"/>
        <rFont val="Calibri"/>
      </rPr>
      <t xml:space="preserve">
</t>
    </r>
    <r>
      <rPr>
        <sz val="13"/>
        <color rgb="FF000000"/>
        <rFont val="Liberation Serif"/>
      </rPr>
      <t xml:space="preserve">Срок оказания услуг: </t>
    </r>
    <r>
      <rPr>
        <sz val="12"/>
        <color rgb="FF000000"/>
        <rFont val="Liberation Serif"/>
      </rPr>
      <t xml:space="preserve">С </t>
    </r>
    <r>
      <rPr>
        <sz val="12"/>
        <color rgb="FF000000"/>
        <rFont val="Liberation Serif"/>
      </rPr>
      <t>даты заключения договора д</t>
    </r>
    <r>
      <rPr>
        <sz val="12"/>
        <color rgb="FF000000"/>
        <rFont val="Liberation Serif"/>
      </rPr>
      <t>о 30.09.2026</t>
    </r>
    <r>
      <rPr>
        <sz val="13"/>
        <color rgb="FF000000"/>
        <rFont val="Liberation Serif"/>
      </rPr>
      <t xml:space="preserve">. </t>
    </r>
    <r>
      <rPr>
        <sz val="11"/>
        <rFont val="Calibri"/>
      </rPr>
      <t xml:space="preserve">
</t>
    </r>
    <r>
      <rPr>
        <sz val="13"/>
        <color rgb="FF000000"/>
        <rFont val="Liberation Serif"/>
      </rPr>
      <t xml:space="preserve">Периодичность оказания услуг: </t>
    </r>
    <r>
      <rPr>
        <sz val="13"/>
        <color rgb="FF000000"/>
        <rFont val="Liberation Serif"/>
      </rPr>
      <t>единовременно</t>
    </r>
    <r>
      <rPr>
        <sz val="13"/>
        <color rgb="FF000000"/>
        <rFont val="Liberation Serif"/>
      </rPr>
      <t>.</t>
    </r>
    <r>
      <rPr>
        <b/>
        <sz val="13"/>
        <color rgb="FFFF0000"/>
        <rFont val="Liberation Serif"/>
      </rPr>
      <t xml:space="preserve"> </t>
    </r>
    <r>
      <rPr>
        <sz val="11"/>
        <rFont val="Calibri"/>
      </rPr>
      <t xml:space="preserve">
</t>
    </r>
    <r>
      <rPr>
        <sz val="13"/>
        <color rgb="FF000000"/>
        <rFont val="Liberation Serif"/>
      </rPr>
      <t xml:space="preserve">Подписание исполнительных документов осуществляется по адресу: </t>
    </r>
    <r>
      <rPr>
        <sz val="13"/>
        <color rgb="FF000000"/>
        <rFont val="Liberation Serif"/>
      </rPr>
      <t>353419, Краснодарский край, г. Анапа, территория Аэропорт, дом. 10, строение 2.</t>
    </r>
    <r>
      <rPr>
        <sz val="11"/>
        <rFont val="Calibri"/>
      </rPr>
      <t xml:space="preserve">
</t>
    </r>
    <r>
      <rPr>
        <sz val="13"/>
        <color rgb="FF000000"/>
        <rFont val="Liberation Serif"/>
      </rPr>
      <t xml:space="preserve"> </t>
    </r>
  </si>
  <si>
    <t>запрос котировок</t>
  </si>
  <si>
    <r>
      <rPr>
        <sz val="13"/>
        <color rgb="FF000000"/>
        <rFont val="Liberation Serif"/>
      </rPr>
      <t>Планируемый срок исполнения договора: (месяц, год)</t>
    </r>
  </si>
  <si>
    <t>запрос котировок в электронной форме</t>
  </si>
  <si>
    <r>
      <rPr>
        <sz val="13"/>
        <color rgb="FF000000"/>
        <rFont val="Liberation Serif"/>
      </rPr>
      <t>Способ определения поставщика (исполнителя, подрядчика):</t>
    </r>
  </si>
  <si>
    <r>
      <rPr>
        <sz val="13"/>
        <color rgb="FF000000"/>
        <rFont val="Liberation Serif"/>
      </rPr>
      <t>запрос котировок в электронной форме</t>
    </r>
  </si>
  <si>
    <t>закрытый запрос котировок</t>
  </si>
  <si>
    <r>
      <rPr>
        <sz val="13"/>
        <color rgb="FF000000"/>
        <rFont val="Liberation Serif"/>
      </rPr>
      <t>Используемый метод определения НМЦД с обоснованием:</t>
    </r>
  </si>
  <si>
    <r>
      <rPr>
        <sz val="13"/>
        <color rgb="FF000000"/>
        <rFont val="Liberation Serif"/>
      </rPr>
      <t>Расчетный метод</t>
    </r>
  </si>
  <si>
    <t>запрос предложений</t>
  </si>
  <si>
    <r>
      <rPr>
        <sz val="13"/>
        <color rgb="FF000000"/>
        <rFont val="Liberation Serif"/>
      </rPr>
      <t xml:space="preserve">Расчетный метод применяется при отсутствии необходимого количества поставщиков на рынке. </t>
    </r>
    <r>
      <rPr>
        <sz val="11"/>
        <rFont val="Calibri"/>
      </rPr>
      <t xml:space="preserve">
</t>
    </r>
    <r>
      <rPr>
        <sz val="13"/>
        <color rgb="FF000000"/>
        <rFont val="Liberation Serif"/>
      </rPr>
      <t>При этом НМЦД определяется на основании имеющейся ценовой информации.</t>
    </r>
  </si>
  <si>
    <r>
      <rPr>
        <sz val="13"/>
        <rFont val="Liberation Serif"/>
      </rPr>
      <t>Применение методов для обоснования и определения начальной (максимальной) цены договора не представляется возможным по следующим причинам:</t>
    </r>
    <r>
      <rPr>
        <sz val="11"/>
        <rFont val="Calibri"/>
      </rPr>
      <t xml:space="preserve">
</t>
    </r>
    <r>
      <rPr>
        <sz val="13"/>
        <rFont val="Liberation Serif"/>
      </rPr>
      <t>1) метод сопоставимых рыночных цен (анализ рынка): проанализирован рынок данного вида товара (работы, услуги) путем:</t>
    </r>
    <r>
      <rPr>
        <sz val="11"/>
        <rFont val="Calibri"/>
      </rPr>
      <t xml:space="preserve">
</t>
    </r>
    <r>
      <rPr>
        <sz val="13"/>
        <color rgb="FF000000"/>
        <rFont val="Liberation Serif"/>
      </rPr>
      <t xml:space="preserve">- поиска ценовой информации в реестре контрактов/договоров. В результате поиска </t>
    </r>
    <r>
      <rPr>
        <sz val="13"/>
        <color rgb="FF000000"/>
        <rFont val="Liberation Serif"/>
      </rPr>
      <t xml:space="preserve">ценовая информация </t>
    </r>
    <r>
      <rPr>
        <sz val="13"/>
        <color rgb="FF000000"/>
        <rFont val="Liberation Serif"/>
      </rPr>
      <t>не найдена</t>
    </r>
    <r>
      <rPr>
        <sz val="13"/>
        <color rgb="FF000000"/>
        <rFont val="Liberation Serif"/>
      </rPr>
      <t>.</t>
    </r>
    <r>
      <rPr>
        <sz val="11"/>
        <rFont val="Calibri"/>
      </rPr>
      <t xml:space="preserve">
</t>
    </r>
    <r>
      <rPr>
        <sz val="13"/>
        <color rgb="FF000000"/>
        <rFont val="Liberation Serif"/>
      </rPr>
      <t>- размещения запроса на предоставление ценовой информации в ЕИС. В результате получено 2 (Два) ценовых предложения, соответствующее условию закупки.</t>
    </r>
    <r>
      <rPr>
        <sz val="13"/>
        <color rgb="FF000000"/>
        <rFont val="Liberation Serif"/>
      </rPr>
      <t xml:space="preserve"> </t>
    </r>
    <r>
      <rPr>
        <sz val="11"/>
        <rFont val="Calibri"/>
      </rPr>
      <t xml:space="preserve">
</t>
    </r>
    <r>
      <rPr>
        <sz val="13"/>
        <color rgb="FF000000"/>
        <rFont val="Liberation Serif"/>
      </rPr>
      <t>- п</t>
    </r>
    <r>
      <rPr>
        <sz val="13"/>
        <rFont val="Liberation Serif"/>
      </rPr>
      <t>роведения анализа поиска и сбора общедоступной ценовой информации. В результате ценовая информация</t>
    </r>
    <r>
      <rPr>
        <sz val="13"/>
        <rFont val="Liberation Serif"/>
      </rPr>
      <t xml:space="preserve"> не найдена.</t>
    </r>
    <r>
      <rPr>
        <sz val="13"/>
        <color rgb="FFFF0000"/>
        <rFont val="Liberation Serif"/>
      </rPr>
      <t xml:space="preserve"> </t>
    </r>
    <r>
      <rPr>
        <sz val="11"/>
        <rFont val="Calibri"/>
      </rPr>
      <t xml:space="preserve">
</t>
    </r>
    <r>
      <rPr>
        <sz val="13"/>
        <color rgb="FF000000"/>
        <rFont val="Liberation Serif"/>
      </rPr>
      <t>- н</t>
    </r>
    <r>
      <rPr>
        <sz val="13"/>
        <rFont val="Liberation Serif"/>
      </rPr>
      <t xml:space="preserve">аправления адресных запросов цен. В результате ценовые предложения </t>
    </r>
    <r>
      <rPr>
        <sz val="13"/>
        <rFont val="Liberation Serif"/>
      </rPr>
      <t xml:space="preserve">не получены. </t>
    </r>
    <r>
      <rPr>
        <sz val="11"/>
        <rFont val="Calibri"/>
      </rPr>
      <t xml:space="preserve">
</t>
    </r>
    <r>
      <rPr>
        <sz val="13"/>
        <color theme="1"/>
        <rFont val="Times New Roman"/>
      </rPr>
      <t>В результате проведенного анализа рынка поиска источников ценовой информации выбрано ценовое предложение по наименьшей стоимости.</t>
    </r>
    <r>
      <rPr>
        <sz val="11"/>
        <rFont val="Calibri"/>
      </rPr>
      <t xml:space="preserve">
</t>
    </r>
    <r>
      <rPr>
        <sz val="13"/>
        <rFont val="Liberation Serif"/>
      </rPr>
      <t>2) тарифный метод не применим по причине того, что цены на необходимые услуги не подлежат государственному регулированию и не устанавливается муниципальными правовыми актами;</t>
    </r>
    <r>
      <rPr>
        <sz val="11"/>
        <rFont val="Calibri"/>
      </rPr>
      <t xml:space="preserve">
</t>
    </r>
    <r>
      <rPr>
        <sz val="13"/>
        <rFont val="Liberation Serif"/>
      </rPr>
      <t>3) проектно-сметный метод применить невозможно в связи с несоответствием закупаемой услуги критериям, при которых применяется проектно-сметный метод (строительство, реконструкцию, капитальный ремонт объекта капитального строительства, проведение работ по сохранению объектов культурного наследия);</t>
    </r>
    <r>
      <rPr>
        <sz val="11"/>
        <rFont val="Calibri"/>
      </rPr>
      <t xml:space="preserve">
</t>
    </r>
    <r>
      <rPr>
        <sz val="13"/>
        <rFont val="Liberation Serif"/>
      </rPr>
      <t>4) затратный метод не применим по причине того, что потенциальный Исполнитель не раскрывает производственных затрат и предлагает фиксированную цену на основании утвержденного Прейскуранта цен. Расчетный метод применяется при отсутствии необходимого количества поставщиков на рынке.</t>
    </r>
    <r>
      <rPr>
        <sz val="11"/>
        <rFont val="Calibri"/>
      </rPr>
      <t xml:space="preserve">
</t>
    </r>
    <r>
      <rPr>
        <sz val="13"/>
        <color theme="1"/>
        <rFont val="Liberation Serif"/>
      </rPr>
      <t>При этом НМЦД определяется на основании имеющейся ценовой информации от 10.09.2025 вх. № ТЦ-2639.</t>
    </r>
    <r>
      <rPr>
        <sz val="11"/>
        <rFont val="Calibri"/>
      </rPr>
      <t xml:space="preserve">
</t>
    </r>
  </si>
  <si>
    <t>запрос предложений в электронной форме</t>
  </si>
  <si>
    <r>
      <rPr>
        <sz val="13"/>
        <color theme="1"/>
        <rFont val="Liberation Serif"/>
      </rPr>
      <t>Расчёт НМЦД</t>
    </r>
  </si>
  <si>
    <r>
      <rPr>
        <sz val="13"/>
        <color theme="1"/>
        <rFont val="Liberation Serif"/>
      </rPr>
      <t>№ п/п</t>
    </r>
  </si>
  <si>
    <r>
      <rPr>
        <sz val="13"/>
        <color theme="1"/>
        <rFont val="Liberation Serif"/>
      </rPr>
      <t>Наименование товара, работы услуги</t>
    </r>
  </si>
  <si>
    <r>
      <rPr>
        <sz val="13"/>
        <color theme="1"/>
        <rFont val="Liberation Serif"/>
      </rPr>
      <t>Единица измерения</t>
    </r>
  </si>
  <si>
    <r>
      <rPr>
        <sz val="13"/>
        <color theme="1"/>
        <rFont val="Liberation Serif"/>
      </rPr>
      <t>Количество (объем) закупаемого товара (работы, услуги)</t>
    </r>
  </si>
  <si>
    <r>
      <rPr>
        <sz val="13"/>
        <color theme="1"/>
        <rFont val="Liberation Serif"/>
      </rPr>
      <t>Цена единицы товара (работы, услуги)</t>
    </r>
  </si>
  <si>
    <r>
      <rPr>
        <sz val="13"/>
        <color theme="1"/>
        <rFont val="Liberation Serif"/>
      </rPr>
      <t>Приведена в соответствии с лимитом</t>
    </r>
  </si>
  <si>
    <r>
      <rPr>
        <sz val="13"/>
        <color theme="1"/>
        <rFont val="Liberation Serif"/>
      </rPr>
      <t>Начальная (максимальная) цена договора</t>
    </r>
  </si>
  <si>
    <r>
      <rPr>
        <sz val="13"/>
        <color theme="1"/>
        <rFont val="Liberation Serif"/>
      </rPr>
      <t>Комментарий по основанию расчета</t>
    </r>
  </si>
  <si>
    <t>закрытый запрос предложений</t>
  </si>
  <si>
    <r>
      <rPr>
        <sz val="12"/>
        <color theme="1"/>
        <rFont val="Liberation Serif"/>
      </rPr>
      <t>Оказание услуг по замеру параметров качества электрической энергии для Таманского Центра ОВД филиала «Аэронавигация Юга» ФГУП «</t>
    </r>
    <r>
      <rPr>
        <sz val="12"/>
        <color theme="1"/>
        <rFont val="Liberation Serif"/>
      </rPr>
      <t>Госкорпорация</t>
    </r>
    <r>
      <rPr>
        <sz val="12"/>
        <color theme="1"/>
        <rFont val="Liberation Serif"/>
      </rPr>
      <t xml:space="preserve"> по </t>
    </r>
    <r>
      <rPr>
        <sz val="12"/>
        <color theme="1"/>
        <rFont val="Liberation Serif"/>
      </rPr>
      <t>ОрВД</t>
    </r>
    <r>
      <rPr>
        <sz val="12"/>
        <color theme="1"/>
        <rFont val="Liberation Serif"/>
      </rPr>
      <t>»</t>
    </r>
  </si>
  <si>
    <r>
      <rPr>
        <sz val="13"/>
        <color theme="1"/>
        <rFont val="Liberation Serif"/>
      </rPr>
      <t>условная единица</t>
    </r>
  </si>
  <si>
    <r>
      <rPr>
        <sz val="13"/>
        <color theme="1"/>
        <rFont val="Liberation Serif"/>
      </rPr>
      <t>1</t>
    </r>
  </si>
  <si>
    <r>
      <rPr>
        <sz val="12"/>
        <rFont val="Liberation Serif"/>
      </rPr>
      <t>Расчет произведен на основании ценовой информации: вх. № ТЦ-2639 от 10.09.2025</t>
    </r>
  </si>
  <si>
    <t>конкурс в электронной форме, участниками которого могут являться только субъекты малого и среднего предпринимательства</t>
  </si>
  <si>
    <r>
      <rPr>
        <sz val="13"/>
        <color theme="1"/>
        <rFont val="Liberation Serif"/>
      </rPr>
      <t>Итоговое значение цены:</t>
    </r>
  </si>
  <si>
    <r>
      <rPr>
        <b/>
        <sz val="13"/>
        <color theme="1"/>
        <rFont val="Liberation Serif"/>
      </rPr>
      <t>Дата подготовки обоснования НМЦД: "08"октября 2025 г.</t>
    </r>
  </si>
  <si>
    <r>
      <rPr>
        <b/>
        <sz val="13"/>
        <color rgb="FF000000"/>
        <rFont val="Liberation Serif"/>
      </rPr>
      <t xml:space="preserve">Начальная (максимальная) цена договора установлена в размере </t>
    </r>
    <r>
      <rPr>
        <b/>
        <sz val="13"/>
        <color rgb="FF000000"/>
        <rFont val="Liberation Serif"/>
      </rPr>
      <t>89 800</t>
    </r>
    <r>
      <rPr>
        <b/>
        <sz val="13"/>
        <color theme="1"/>
        <rFont val="Liberation Serif"/>
      </rPr>
      <t xml:space="preserve"> (Восемьдесят девять тысяч восемьсот</t>
    </r>
    <r>
      <rPr>
        <b/>
        <sz val="13"/>
        <color theme="1"/>
        <rFont val="Liberation Serif"/>
      </rPr>
      <t>) рублей 00 копеек</t>
    </r>
    <r>
      <rPr>
        <b/>
        <sz val="13"/>
        <color rgb="FF000000"/>
        <rFont val="Liberation Serif"/>
      </rPr>
      <t xml:space="preserve">, </t>
    </r>
    <r>
      <rPr>
        <b/>
        <sz val="13"/>
        <color rgb="FF000000"/>
        <rFont val="Liberation Serif"/>
      </rPr>
      <t>включая все налоги и другие обязательные платежи</t>
    </r>
    <r>
      <rPr>
        <b/>
        <sz val="13"/>
        <color rgb="FF000000"/>
        <rFont val="Liberation Serif"/>
      </rPr>
      <t>.</t>
    </r>
  </si>
  <si>
    <r>
      <rPr>
        <sz val="12"/>
        <rFont val="Liberation Serif"/>
      </rPr>
      <t>Директор филиала</t>
    </r>
  </si>
  <si>
    <r>
      <rPr>
        <sz val="11"/>
        <rFont val="Liberation Serif"/>
      </rPr>
      <t>____________________</t>
    </r>
    <r>
      <rPr>
        <sz val="11"/>
        <rFont val="Calibri"/>
      </rPr>
      <t xml:space="preserve">
</t>
    </r>
    <r>
      <rPr>
        <sz val="11"/>
        <rFont val="Liberation Serif"/>
      </rPr>
      <t>подпись</t>
    </r>
  </si>
  <si>
    <r>
      <rPr>
        <i/>
        <sz val="12"/>
        <rFont val="Liberation Serif"/>
      </rPr>
      <t>Ю.П. Токарев</t>
    </r>
  </si>
  <si>
    <r>
      <rPr>
        <sz val="12"/>
        <rFont val="Liberation Serif"/>
      </rPr>
      <t>Заместитель директора филиала</t>
    </r>
  </si>
  <si>
    <r>
      <rPr>
        <i/>
        <sz val="12"/>
        <rFont val="Liberation Serif"/>
      </rPr>
      <t>С.В. Исаев</t>
    </r>
  </si>
  <si>
    <r>
      <rPr>
        <sz val="12"/>
        <rFont val="Liberation Serif"/>
      </rPr>
      <t>И.о. заместителя директора филиала по безопасности</t>
    </r>
  </si>
  <si>
    <r>
      <rPr>
        <i/>
        <sz val="12"/>
        <rFont val="Liberation Serif"/>
      </rPr>
      <t>К.В. Лайко</t>
    </r>
  </si>
  <si>
    <r>
      <rPr>
        <sz val="12"/>
        <rFont val="Liberation Serif"/>
      </rPr>
      <t>Начальник службы по инфраструктуре</t>
    </r>
  </si>
  <si>
    <r>
      <rPr>
        <i/>
        <sz val="12"/>
        <rFont val="Liberation Serif"/>
      </rPr>
      <t>И.В. Демидов</t>
    </r>
  </si>
  <si>
    <r>
      <rPr>
        <sz val="12"/>
        <rFont val="Liberation Serif"/>
      </rPr>
      <t>Начальник Таманского Центра ОВД</t>
    </r>
  </si>
  <si>
    <r>
      <rPr>
        <i/>
        <sz val="12"/>
        <rFont val="Liberation Serif"/>
      </rPr>
      <t>В.М. Фияло</t>
    </r>
  </si>
  <si>
    <r>
      <t>Малыгин Артем Андреевич/</t>
    </r>
    <r>
      <rPr>
        <sz val="13"/>
        <color theme="1"/>
        <rFont val="Liberation Serif"/>
      </rPr>
      <t>+7 (86133) 21862*149</t>
    </r>
  </si>
  <si>
    <r>
      <t>Оказание услуг по замеру параметров качества электрической энергии для Таманского Центра ОВД филиала «Аэронавигация Юга» ФГУП «</t>
    </r>
    <r>
      <rPr>
        <b/>
        <sz val="13"/>
        <color rgb="FF000000"/>
        <rFont val="Liberation Serif"/>
      </rPr>
      <t>Госкорпорация</t>
    </r>
    <r>
      <rPr>
        <b/>
        <sz val="13"/>
        <color rgb="FF000000"/>
        <rFont val="Liberation Serif"/>
      </rPr>
      <t xml:space="preserve"> по </t>
    </r>
    <r>
      <rPr>
        <b/>
        <sz val="13"/>
        <color rgb="FF000000"/>
        <rFont val="Liberation Serif"/>
      </rPr>
      <t>ОрВД</t>
    </r>
    <r>
      <rPr>
        <b/>
        <sz val="13"/>
        <color rgb="FF000000"/>
        <rFont val="Liberation Serif"/>
      </rPr>
      <t>»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</si>
</sst>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9]mmmm\ yyyy;@"/>
  </numFmts>
  <fonts count="28">
    <font>
      <sz val="11"/>
      <name val="Calibri"/>
    </font>
    <font>
      <sz val="13"/>
      <color theme="1"/>
      <name val="Times New Roman"/>
    </font>
    <font>
      <sz val="13"/>
      <color theme="0" tint="-0.34998626667073579"/>
      <name val="Times New Roman"/>
    </font>
    <font>
      <sz val="13"/>
      <color rgb="FFFF0000"/>
      <name val="Times New Roman"/>
    </font>
    <font>
      <b/>
      <sz val="11"/>
      <color rgb="FF000000"/>
      <name val="Liberation Serif"/>
    </font>
    <font>
      <b/>
      <sz val="13"/>
      <color rgb="FF000000"/>
      <name val="Liberation Serif"/>
    </font>
    <font>
      <b/>
      <sz val="13"/>
      <color theme="0" tint="-0.34998626667073579"/>
      <name val="Times New Roman"/>
    </font>
    <font>
      <vertAlign val="superscript"/>
      <sz val="13"/>
      <color theme="1"/>
      <name val="Liberation Serif"/>
    </font>
    <font>
      <sz val="13"/>
      <color theme="1"/>
      <name val="Liberation Serif"/>
    </font>
    <font>
      <sz val="13"/>
      <color rgb="FF000000"/>
      <name val="Liberation Serif"/>
    </font>
    <font>
      <sz val="13"/>
      <color rgb="FF000000"/>
      <name val="Times New Roman"/>
    </font>
    <font>
      <sz val="13"/>
      <color rgb="FF000000"/>
      <name val="Liberation Serif"/>
    </font>
    <font>
      <sz val="10"/>
      <color rgb="FF000000"/>
      <name val="Times New Roman"/>
    </font>
    <font>
      <sz val="13"/>
      <name val="Times New Roman"/>
    </font>
    <font>
      <sz val="12"/>
      <color theme="1"/>
      <name val="Liberation Serif"/>
    </font>
    <font>
      <sz val="12"/>
      <name val="Liberation Serif"/>
    </font>
    <font>
      <sz val="13"/>
      <color rgb="FFFF0000"/>
      <name val="Liberation Serif"/>
    </font>
    <font>
      <b/>
      <sz val="13"/>
      <color theme="1"/>
      <name val="Liberation Serif"/>
    </font>
    <font>
      <b/>
      <sz val="13"/>
      <color theme="1"/>
      <name val="Times New Roman"/>
    </font>
    <font>
      <sz val="11"/>
      <name val="Liberation Serif"/>
    </font>
    <font>
      <i/>
      <sz val="12"/>
      <name val="Liberation Serif"/>
    </font>
    <font>
      <i/>
      <sz val="13"/>
      <name val="Liberation Serif"/>
    </font>
    <font>
      <i/>
      <sz val="12"/>
      <name val="Times New Roman"/>
    </font>
    <font>
      <i/>
      <sz val="13"/>
      <name val="Times New Roman"/>
    </font>
    <font>
      <sz val="11"/>
      <color rgb="FF000000"/>
      <name val="Times New Roman"/>
    </font>
    <font>
      <sz val="12"/>
      <color rgb="FF000000"/>
      <name val="Liberation Serif"/>
    </font>
    <font>
      <b/>
      <sz val="13"/>
      <color rgb="FFFF0000"/>
      <name val="Liberation Serif"/>
    </font>
    <font>
      <sz val="13"/>
      <name val="Liberation Serif"/>
    </font>
  </fonts>
  <fills count="4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/>
      </patternFill>
    </fill>
  </fills>
  <borders count="9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 applyFill="0" applyBorder="0"/>
  </cellStyleXfs>
  <cellXfs count="132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2" fillId="0" borderId="0" xfId="0" applyNumberFormat="1" applyFont="1" applyAlignment="1">
      <alignment vertical="top"/>
    </xf>
    <xf numFmtId="0" fontId="3" fillId="0" borderId="0" xfId="0" applyNumberFormat="1" applyFont="1"/>
    <xf numFmtId="0" fontId="5" fillId="0" borderId="0" xfId="0" applyNumberFormat="1" applyFont="1" applyAlignment="1">
      <alignment horizontal="center" vertical="center" wrapText="1"/>
    </xf>
    <xf numFmtId="0" fontId="6" fillId="2" borderId="0" xfId="0" applyNumberFormat="1" applyFont="1" applyFill="1" applyAlignment="1">
      <alignment vertical="center" wrapText="1"/>
    </xf>
    <xf numFmtId="0" fontId="2" fillId="2" borderId="0" xfId="0" applyNumberFormat="1" applyFont="1" applyFill="1" applyAlignment="1">
      <alignment vertical="center"/>
    </xf>
    <xf numFmtId="0" fontId="8" fillId="2" borderId="0" xfId="0" applyNumberFormat="1" applyFont="1" applyFill="1"/>
    <xf numFmtId="0" fontId="2" fillId="2" borderId="0" xfId="0" applyNumberFormat="1" applyFont="1" applyFill="1"/>
    <xf numFmtId="0" fontId="9" fillId="2" borderId="50" xfId="0" applyNumberFormat="1" applyFont="1" applyFill="1" applyBorder="1" applyAlignment="1">
      <alignment horizontal="left" vertical="center"/>
    </xf>
    <xf numFmtId="0" fontId="9" fillId="2" borderId="51" xfId="0" applyNumberFormat="1" applyFont="1" applyFill="1" applyBorder="1" applyAlignment="1">
      <alignment horizontal="left" vertical="center" wrapText="1"/>
    </xf>
    <xf numFmtId="0" fontId="9" fillId="2" borderId="52" xfId="0" applyNumberFormat="1" applyFont="1" applyFill="1" applyBorder="1" applyAlignment="1">
      <alignment vertical="center"/>
    </xf>
    <xf numFmtId="0" fontId="9" fillId="2" borderId="53" xfId="0" applyNumberFormat="1" applyFont="1" applyFill="1" applyBorder="1" applyAlignment="1">
      <alignment vertical="center" wrapText="1"/>
    </xf>
    <xf numFmtId="0" fontId="9" fillId="2" borderId="54" xfId="0" applyNumberFormat="1" applyFont="1" applyFill="1" applyBorder="1" applyAlignment="1">
      <alignment vertical="center" wrapText="1"/>
    </xf>
    <xf numFmtId="0" fontId="12" fillId="0" borderId="58" xfId="0" applyNumberFormat="1" applyFont="1" applyBorder="1" applyAlignment="1">
      <alignment vertical="center" wrapText="1"/>
    </xf>
    <xf numFmtId="0" fontId="12" fillId="0" borderId="0" xfId="0" applyNumberFormat="1" applyFont="1" applyAlignment="1">
      <alignment vertical="center" wrapText="1"/>
    </xf>
    <xf numFmtId="0" fontId="8" fillId="2" borderId="25" xfId="0" applyNumberFormat="1" applyFont="1" applyFill="1" applyBorder="1" applyAlignment="1">
      <alignment horizontal="center" vertical="center" wrapText="1"/>
    </xf>
    <xf numFmtId="0" fontId="8" fillId="2" borderId="70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Alignment="1">
      <alignment horizontal="center" vertical="center" wrapText="1"/>
    </xf>
    <xf numFmtId="0" fontId="14" fillId="2" borderId="70" xfId="0" applyNumberFormat="1" applyFont="1" applyFill="1" applyBorder="1" applyAlignment="1">
      <alignment horizontal="center" vertical="center" wrapText="1"/>
    </xf>
    <xf numFmtId="49" fontId="8" fillId="3" borderId="72" xfId="0" applyNumberFormat="1" applyFont="1" applyFill="1" applyBorder="1" applyAlignment="1">
      <alignment horizontal="center" vertical="center" wrapText="1"/>
    </xf>
    <xf numFmtId="49" fontId="8" fillId="3" borderId="73" xfId="0" applyNumberFormat="1" applyFont="1" applyFill="1" applyBorder="1" applyAlignment="1">
      <alignment horizontal="center" vertical="center" wrapText="1"/>
    </xf>
    <xf numFmtId="4" fontId="8" fillId="3" borderId="74" xfId="0" applyNumberFormat="1" applyFont="1" applyFill="1" applyBorder="1" applyAlignment="1">
      <alignment horizontal="center" vertical="center" wrapText="1"/>
    </xf>
    <xf numFmtId="0" fontId="15" fillId="0" borderId="75" xfId="0" applyNumberFormat="1" applyFont="1" applyBorder="1" applyAlignment="1">
      <alignment vertical="center" wrapText="1"/>
    </xf>
    <xf numFmtId="4" fontId="8" fillId="2" borderId="79" xfId="0" applyNumberFormat="1" applyFont="1" applyFill="1" applyBorder="1" applyAlignment="1">
      <alignment horizontal="center" vertical="center" wrapText="1"/>
    </xf>
    <xf numFmtId="0" fontId="16" fillId="2" borderId="80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Alignment="1">
      <alignment horizontal="right" vertical="center" wrapText="1"/>
    </xf>
    <xf numFmtId="2" fontId="8" fillId="2" borderId="0" xfId="0" applyNumberFormat="1" applyFont="1" applyFill="1" applyAlignment="1">
      <alignment horizontal="center" vertical="center" wrapText="1"/>
    </xf>
    <xf numFmtId="0" fontId="16" fillId="2" borderId="0" xfId="0" applyNumberFormat="1" applyFont="1" applyFill="1" applyAlignment="1">
      <alignment horizontal="center" vertical="center" wrapText="1"/>
    </xf>
    <xf numFmtId="0" fontId="19" fillId="2" borderId="0" xfId="0" applyNumberFormat="1" applyFont="1" applyFill="1" applyAlignment="1">
      <alignment horizontal="center" wrapText="1"/>
    </xf>
    <xf numFmtId="0" fontId="20" fillId="2" borderId="0" xfId="0" applyNumberFormat="1" applyFont="1" applyFill="1" applyAlignment="1">
      <alignment horizontal="center" vertical="center"/>
    </xf>
    <xf numFmtId="0" fontId="21" fillId="2" borderId="0" xfId="0" applyNumberFormat="1" applyFont="1" applyFill="1" applyAlignment="1">
      <alignment horizontal="center"/>
    </xf>
    <xf numFmtId="0" fontId="20" fillId="2" borderId="0" xfId="0" applyNumberFormat="1" applyFont="1" applyFill="1" applyAlignment="1">
      <alignment vertical="center"/>
    </xf>
    <xf numFmtId="0" fontId="1" fillId="2" borderId="0" xfId="0" applyNumberFormat="1" applyFont="1" applyFill="1"/>
    <xf numFmtId="0" fontId="22" fillId="2" borderId="0" xfId="0" applyNumberFormat="1" applyFont="1" applyFill="1" applyAlignment="1">
      <alignment vertical="center"/>
    </xf>
    <xf numFmtId="0" fontId="23" fillId="2" borderId="0" xfId="0" applyNumberFormat="1" applyFont="1" applyFill="1" applyAlignment="1">
      <alignment vertical="center"/>
    </xf>
    <xf numFmtId="0" fontId="10" fillId="2" borderId="0" xfId="0" applyNumberFormat="1" applyFont="1" applyFill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24" fillId="2" borderId="0" xfId="0" applyNumberFormat="1" applyFont="1" applyFill="1" applyAlignment="1">
      <alignment horizontal="left"/>
    </xf>
    <xf numFmtId="0" fontId="2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6" xfId="0" applyNumberFormat="1" applyFont="1" applyFill="1" applyBorder="1" applyAlignment="1">
      <alignment horizontal="center" vertical="center" wrapText="1"/>
    </xf>
    <xf numFmtId="0" fontId="5" fillId="2" borderId="7" xfId="0" applyNumberFormat="1" applyFont="1" applyFill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7" fillId="2" borderId="11" xfId="0" applyNumberFormat="1" applyFont="1" applyFill="1" applyBorder="1" applyAlignment="1">
      <alignment horizontal="center" vertical="top"/>
    </xf>
    <xf numFmtId="0" fontId="7" fillId="2" borderId="12" xfId="0" applyNumberFormat="1" applyFont="1" applyFill="1" applyBorder="1" applyAlignment="1">
      <alignment horizontal="center" vertical="top"/>
    </xf>
    <xf numFmtId="0" fontId="7" fillId="2" borderId="13" xfId="0" applyNumberFormat="1" applyFont="1" applyFill="1" applyBorder="1" applyAlignment="1">
      <alignment horizontal="center" vertical="top"/>
    </xf>
    <xf numFmtId="0" fontId="7" fillId="2" borderId="14" xfId="0" applyNumberFormat="1" applyFont="1" applyFill="1" applyBorder="1" applyAlignment="1">
      <alignment horizontal="center" vertical="top"/>
    </xf>
    <xf numFmtId="0" fontId="7" fillId="2" borderId="15" xfId="0" applyNumberFormat="1" applyFont="1" applyFill="1" applyBorder="1" applyAlignment="1">
      <alignment horizontal="center" vertical="top"/>
    </xf>
    <xf numFmtId="0" fontId="7" fillId="2" borderId="16" xfId="0" applyNumberFormat="1" applyFont="1" applyFill="1" applyBorder="1" applyAlignment="1">
      <alignment horizontal="center" vertical="top"/>
    </xf>
    <xf numFmtId="0" fontId="7" fillId="2" borderId="17" xfId="0" applyNumberFormat="1" applyFont="1" applyFill="1" applyBorder="1" applyAlignment="1">
      <alignment horizontal="center" vertical="top"/>
    </xf>
    <xf numFmtId="0" fontId="7" fillId="2" borderId="18" xfId="0" applyNumberFormat="1" applyFont="1" applyFill="1" applyBorder="1" applyAlignment="1">
      <alignment horizontal="center" vertical="top"/>
    </xf>
    <xf numFmtId="0" fontId="7" fillId="2" borderId="19" xfId="0" applyNumberFormat="1" applyFont="1" applyFill="1" applyBorder="1" applyAlignment="1">
      <alignment horizontal="center" vertical="top"/>
    </xf>
    <xf numFmtId="0" fontId="7" fillId="2" borderId="20" xfId="0" applyNumberFormat="1" applyFont="1" applyFill="1" applyBorder="1" applyAlignment="1">
      <alignment horizontal="center" vertical="top"/>
    </xf>
    <xf numFmtId="0" fontId="10" fillId="2" borderId="25" xfId="0" applyNumberFormat="1" applyFont="1" applyFill="1" applyBorder="1" applyAlignment="1">
      <alignment horizontal="left" vertical="top" wrapText="1"/>
    </xf>
    <xf numFmtId="0" fontId="10" fillId="2" borderId="26" xfId="0" applyNumberFormat="1" applyFont="1" applyFill="1" applyBorder="1" applyAlignment="1">
      <alignment horizontal="left" vertical="top" wrapText="1"/>
    </xf>
    <xf numFmtId="0" fontId="10" fillId="2" borderId="27" xfId="0" applyNumberFormat="1" applyFont="1" applyFill="1" applyBorder="1" applyAlignment="1">
      <alignment horizontal="left" vertical="top" wrapText="1"/>
    </xf>
    <xf numFmtId="0" fontId="10" fillId="2" borderId="28" xfId="0" applyNumberFormat="1" applyFont="1" applyFill="1" applyBorder="1" applyAlignment="1">
      <alignment horizontal="left" vertical="top" wrapText="1"/>
    </xf>
    <xf numFmtId="0" fontId="10" fillId="2" borderId="29" xfId="0" applyNumberFormat="1" applyFont="1" applyFill="1" applyBorder="1" applyAlignment="1">
      <alignment horizontal="left" vertical="top" wrapText="1"/>
    </xf>
    <xf numFmtId="0" fontId="10" fillId="2" borderId="30" xfId="0" applyNumberFormat="1" applyFont="1" applyFill="1" applyBorder="1" applyAlignment="1">
      <alignment horizontal="left" vertical="top" wrapText="1"/>
    </xf>
    <xf numFmtId="0" fontId="9" fillId="2" borderId="23" xfId="0" applyNumberFormat="1" applyFont="1" applyFill="1" applyBorder="1" applyAlignment="1">
      <alignment horizontal="left" vertical="center" wrapText="1"/>
    </xf>
    <xf numFmtId="0" fontId="9" fillId="2" borderId="24" xfId="0" applyNumberFormat="1" applyFont="1" applyFill="1" applyBorder="1" applyAlignment="1">
      <alignment horizontal="left" vertical="center" wrapText="1"/>
    </xf>
    <xf numFmtId="0" fontId="9" fillId="2" borderId="32" xfId="0" applyNumberFormat="1" applyFont="1" applyFill="1" applyBorder="1" applyAlignment="1">
      <alignment horizontal="left" vertical="center" wrapText="1"/>
    </xf>
    <xf numFmtId="0" fontId="9" fillId="2" borderId="33" xfId="0" applyNumberFormat="1" applyFont="1" applyFill="1" applyBorder="1" applyAlignment="1">
      <alignment horizontal="left" vertical="center" wrapText="1"/>
    </xf>
    <xf numFmtId="164" fontId="11" fillId="2" borderId="23" xfId="0" applyNumberFormat="1" applyFont="1" applyFill="1" applyBorder="1" applyAlignment="1">
      <alignment horizontal="left" vertical="center" wrapText="1"/>
    </xf>
    <xf numFmtId="164" fontId="11" fillId="2" borderId="34" xfId="0" applyNumberFormat="1" applyFont="1" applyFill="1" applyBorder="1" applyAlignment="1">
      <alignment horizontal="left" vertical="center" wrapText="1"/>
    </xf>
    <xf numFmtId="164" fontId="11" fillId="2" borderId="35" xfId="0" applyNumberFormat="1" applyFont="1" applyFill="1" applyBorder="1" applyAlignment="1">
      <alignment horizontal="left" vertical="center" wrapText="1"/>
    </xf>
    <xf numFmtId="164" fontId="11" fillId="2" borderId="36" xfId="0" applyNumberFormat="1" applyFont="1" applyFill="1" applyBorder="1" applyAlignment="1">
      <alignment horizontal="left" vertical="center" wrapText="1"/>
    </xf>
    <xf numFmtId="164" fontId="11" fillId="2" borderId="37" xfId="0" applyNumberFormat="1" applyFont="1" applyFill="1" applyBorder="1" applyAlignment="1">
      <alignment horizontal="left" vertical="center" wrapText="1"/>
    </xf>
    <xf numFmtId="164" fontId="11" fillId="2" borderId="38" xfId="0" applyNumberFormat="1" applyFont="1" applyFill="1" applyBorder="1" applyAlignment="1">
      <alignment horizontal="left" vertical="center" wrapText="1"/>
    </xf>
    <xf numFmtId="0" fontId="9" fillId="2" borderId="21" xfId="0" applyNumberFormat="1" applyFont="1" applyFill="1" applyBorder="1" applyAlignment="1">
      <alignment horizontal="left" vertical="center" wrapText="1"/>
    </xf>
    <xf numFmtId="0" fontId="9" fillId="2" borderId="22" xfId="0" applyNumberFormat="1" applyFont="1" applyFill="1" applyBorder="1" applyAlignment="1">
      <alignment horizontal="left" vertical="center" wrapText="1"/>
    </xf>
    <xf numFmtId="0" fontId="9" fillId="2" borderId="31" xfId="0" applyNumberFormat="1" applyFont="1" applyFill="1" applyBorder="1" applyAlignment="1">
      <alignment horizontal="left" vertical="center" wrapText="1"/>
    </xf>
    <xf numFmtId="0" fontId="9" fillId="2" borderId="0" xfId="0" applyNumberFormat="1" applyFont="1" applyFill="1" applyAlignment="1">
      <alignment horizontal="left" vertical="center" wrapText="1"/>
    </xf>
    <xf numFmtId="0" fontId="9" fillId="2" borderId="39" xfId="0" applyNumberFormat="1" applyFont="1" applyFill="1" applyBorder="1" applyAlignment="1">
      <alignment horizontal="left" vertical="center" wrapText="1"/>
    </xf>
    <xf numFmtId="0" fontId="9" fillId="2" borderId="40" xfId="0" applyNumberFormat="1" applyFont="1" applyFill="1" applyBorder="1" applyAlignment="1">
      <alignment horizontal="left" vertical="center" wrapText="1"/>
    </xf>
    <xf numFmtId="0" fontId="9" fillId="2" borderId="41" xfId="0" applyNumberFormat="1" applyFont="1" applyFill="1" applyBorder="1" applyAlignment="1">
      <alignment horizontal="left" vertical="center"/>
    </xf>
    <xf numFmtId="0" fontId="9" fillId="2" borderId="43" xfId="0" applyNumberFormat="1" applyFont="1" applyFill="1" applyBorder="1" applyAlignment="1">
      <alignment horizontal="left" vertical="center"/>
    </xf>
    <xf numFmtId="0" fontId="9" fillId="2" borderId="44" xfId="0" applyNumberFormat="1" applyFont="1" applyFill="1" applyBorder="1" applyAlignment="1">
      <alignment horizontal="left" vertical="center"/>
    </xf>
    <xf numFmtId="0" fontId="9" fillId="2" borderId="45" xfId="0" applyNumberFormat="1" applyFont="1" applyFill="1" applyBorder="1" applyAlignment="1">
      <alignment horizontal="left" vertical="center"/>
    </xf>
    <xf numFmtId="0" fontId="9" fillId="2" borderId="46" xfId="0" applyNumberFormat="1" applyFont="1" applyFill="1" applyBorder="1" applyAlignment="1">
      <alignment horizontal="left" vertical="center"/>
    </xf>
    <xf numFmtId="0" fontId="9" fillId="2" borderId="47" xfId="0" applyNumberFormat="1" applyFont="1" applyFill="1" applyBorder="1" applyAlignment="1">
      <alignment horizontal="left" vertical="center"/>
    </xf>
    <xf numFmtId="0" fontId="9" fillId="2" borderId="41" xfId="0" applyNumberFormat="1" applyFont="1" applyFill="1" applyBorder="1" applyAlignment="1">
      <alignment horizontal="left" vertical="center" wrapText="1"/>
    </xf>
    <xf numFmtId="0" fontId="9" fillId="2" borderId="42" xfId="0" applyNumberFormat="1" applyFont="1" applyFill="1" applyBorder="1" applyAlignment="1">
      <alignment horizontal="left" vertical="center" wrapText="1"/>
    </xf>
    <xf numFmtId="0" fontId="9" fillId="2" borderId="48" xfId="0" applyNumberFormat="1" applyFont="1" applyFill="1" applyBorder="1" applyAlignment="1">
      <alignment horizontal="left" vertical="center" wrapText="1"/>
    </xf>
    <xf numFmtId="0" fontId="9" fillId="2" borderId="49" xfId="0" applyNumberFormat="1" applyFont="1" applyFill="1" applyBorder="1" applyAlignment="1">
      <alignment horizontal="left" vertical="center" wrapText="1"/>
    </xf>
    <xf numFmtId="0" fontId="9" fillId="2" borderId="55" xfId="0" applyNumberFormat="1" applyFont="1" applyFill="1" applyBorder="1" applyAlignment="1">
      <alignment horizontal="left" vertical="center" wrapText="1"/>
    </xf>
    <xf numFmtId="0" fontId="9" fillId="2" borderId="59" xfId="0" applyNumberFormat="1" applyFont="1" applyFill="1" applyBorder="1" applyAlignment="1">
      <alignment horizontal="left" vertical="center" wrapText="1"/>
    </xf>
    <xf numFmtId="0" fontId="9" fillId="0" borderId="56" xfId="0" applyNumberFormat="1" applyFont="1" applyBorder="1" applyAlignment="1">
      <alignment horizontal="left" vertical="center" wrapText="1"/>
    </xf>
    <xf numFmtId="0" fontId="9" fillId="0" borderId="0" xfId="0" applyNumberFormat="1" applyFont="1" applyAlignment="1">
      <alignment horizontal="left" vertical="center" wrapText="1"/>
    </xf>
    <xf numFmtId="0" fontId="9" fillId="0" borderId="57" xfId="0" applyNumberFormat="1" applyFont="1" applyBorder="1" applyAlignment="1">
      <alignment horizontal="left" vertical="center" wrapText="1"/>
    </xf>
    <xf numFmtId="0" fontId="13" fillId="0" borderId="60" xfId="0" applyNumberFormat="1" applyFont="1" applyBorder="1" applyAlignment="1">
      <alignment horizontal="left" vertical="top" wrapText="1"/>
    </xf>
    <xf numFmtId="0" fontId="13" fillId="0" borderId="61" xfId="0" applyNumberFormat="1" applyFont="1" applyBorder="1" applyAlignment="1">
      <alignment horizontal="left" vertical="top" wrapText="1"/>
    </xf>
    <xf numFmtId="0" fontId="13" fillId="0" borderId="62" xfId="0" applyNumberFormat="1" applyFont="1" applyBorder="1" applyAlignment="1">
      <alignment horizontal="left" vertical="top" wrapText="1"/>
    </xf>
    <xf numFmtId="0" fontId="13" fillId="0" borderId="63" xfId="0" applyNumberFormat="1" applyFont="1" applyBorder="1" applyAlignment="1">
      <alignment horizontal="left" vertical="top" wrapText="1"/>
    </xf>
    <xf numFmtId="0" fontId="13" fillId="0" borderId="64" xfId="0" applyNumberFormat="1" applyFont="1" applyBorder="1" applyAlignment="1">
      <alignment horizontal="left" vertical="top" wrapText="1"/>
    </xf>
    <xf numFmtId="0" fontId="13" fillId="0" borderId="65" xfId="0" applyNumberFormat="1" applyFont="1" applyBorder="1" applyAlignment="1">
      <alignment horizontal="left" vertical="top" wrapText="1"/>
    </xf>
    <xf numFmtId="0" fontId="13" fillId="0" borderId="66" xfId="0" applyNumberFormat="1" applyFont="1" applyBorder="1" applyAlignment="1">
      <alignment horizontal="left" vertical="top" wrapText="1"/>
    </xf>
    <xf numFmtId="0" fontId="13" fillId="0" borderId="67" xfId="0" applyNumberFormat="1" applyFont="1" applyBorder="1" applyAlignment="1">
      <alignment horizontal="left" vertical="top" wrapText="1"/>
    </xf>
    <xf numFmtId="0" fontId="17" fillId="2" borderId="25" xfId="0" applyNumberFormat="1" applyFont="1" applyFill="1" applyBorder="1" applyAlignment="1">
      <alignment horizontal="center" vertical="center" wrapText="1"/>
    </xf>
    <xf numFmtId="0" fontId="17" fillId="2" borderId="81" xfId="0" applyNumberFormat="1" applyFont="1" applyFill="1" applyBorder="1" applyAlignment="1">
      <alignment horizontal="center" vertical="center" wrapText="1"/>
    </xf>
    <xf numFmtId="0" fontId="17" fillId="2" borderId="82" xfId="0" applyNumberFormat="1" applyFont="1" applyFill="1" applyBorder="1" applyAlignment="1">
      <alignment horizontal="center" vertical="center" wrapText="1"/>
    </xf>
    <xf numFmtId="0" fontId="17" fillId="2" borderId="83" xfId="0" applyNumberFormat="1" applyFont="1" applyFill="1" applyBorder="1" applyAlignment="1">
      <alignment horizontal="center" vertical="center" wrapText="1"/>
    </xf>
    <xf numFmtId="0" fontId="17" fillId="2" borderId="84" xfId="0" applyNumberFormat="1" applyFont="1" applyFill="1" applyBorder="1" applyAlignment="1">
      <alignment horizontal="center" vertical="center" wrapText="1"/>
    </xf>
    <xf numFmtId="0" fontId="17" fillId="2" borderId="85" xfId="0" applyNumberFormat="1" applyFont="1" applyFill="1" applyBorder="1" applyAlignment="1">
      <alignment horizontal="center" vertical="center" wrapText="1"/>
    </xf>
    <xf numFmtId="0" fontId="17" fillId="2" borderId="86" xfId="0" applyNumberFormat="1" applyFont="1" applyFill="1" applyBorder="1" applyAlignment="1">
      <alignment horizontal="center" vertical="center" wrapText="1"/>
    </xf>
    <xf numFmtId="0" fontId="17" fillId="2" borderId="87" xfId="0" applyNumberFormat="1" applyFont="1" applyFill="1" applyBorder="1" applyAlignment="1">
      <alignment horizontal="center" vertical="center" wrapText="1"/>
    </xf>
    <xf numFmtId="0" fontId="17" fillId="2" borderId="88" xfId="0" applyNumberFormat="1" applyFont="1" applyFill="1" applyBorder="1" applyAlignment="1">
      <alignment horizontal="center" vertical="center" wrapText="1"/>
    </xf>
    <xf numFmtId="0" fontId="17" fillId="2" borderId="89" xfId="0" applyNumberFormat="1" applyFont="1" applyFill="1" applyBorder="1" applyAlignment="1">
      <alignment horizontal="center" vertical="center" wrapText="1"/>
    </xf>
    <xf numFmtId="0" fontId="18" fillId="2" borderId="0" xfId="0" applyNumberFormat="1" applyFont="1" applyFill="1" applyAlignment="1">
      <alignment horizontal="center" vertical="center" wrapText="1"/>
    </xf>
    <xf numFmtId="0" fontId="8" fillId="2" borderId="25" xfId="0" applyNumberFormat="1" applyFont="1" applyFill="1" applyBorder="1" applyAlignment="1">
      <alignment horizontal="center" vertical="center" wrapText="1"/>
    </xf>
    <xf numFmtId="0" fontId="8" fillId="2" borderId="77" xfId="0" applyNumberFormat="1" applyFont="1" applyFill="1" applyBorder="1" applyAlignment="1">
      <alignment horizontal="center" vertical="center" wrapText="1"/>
    </xf>
    <xf numFmtId="0" fontId="8" fillId="2" borderId="78" xfId="0" applyNumberFormat="1" applyFont="1" applyFill="1" applyBorder="1" applyAlignment="1">
      <alignment horizontal="center" vertical="center" wrapText="1"/>
    </xf>
    <xf numFmtId="0" fontId="19" fillId="2" borderId="0" xfId="0" applyNumberFormat="1" applyFont="1" applyFill="1" applyAlignment="1">
      <alignment horizontal="center" wrapText="1"/>
    </xf>
    <xf numFmtId="0" fontId="1" fillId="2" borderId="0" xfId="0" applyNumberFormat="1" applyFont="1" applyFill="1" applyAlignment="1">
      <alignment horizontal="center"/>
    </xf>
    <xf numFmtId="0" fontId="10" fillId="2" borderId="0" xfId="0" applyNumberFormat="1" applyFont="1" applyFill="1" applyAlignment="1">
      <alignment horizontal="left"/>
    </xf>
    <xf numFmtId="0" fontId="24" fillId="2" borderId="0" xfId="0" applyNumberFormat="1" applyFont="1" applyFill="1" applyAlignment="1">
      <alignment horizontal="left"/>
    </xf>
    <xf numFmtId="0" fontId="15" fillId="2" borderId="0" xfId="0" applyNumberFormat="1" applyFont="1" applyFill="1" applyAlignment="1">
      <alignment horizontal="left" vertical="center" wrapText="1"/>
    </xf>
    <xf numFmtId="0" fontId="1" fillId="0" borderId="0" xfId="0" applyNumberFormat="1" applyFont="1" applyAlignment="1">
      <alignment horizontal="center"/>
    </xf>
    <xf numFmtId="0" fontId="8" fillId="2" borderId="68" xfId="0" applyNumberFormat="1" applyFont="1" applyFill="1" applyBorder="1" applyAlignment="1">
      <alignment horizontal="center" vertical="center" wrapText="1"/>
    </xf>
    <xf numFmtId="0" fontId="8" fillId="2" borderId="69" xfId="0" applyNumberFormat="1" applyFont="1" applyFill="1" applyBorder="1" applyAlignment="1">
      <alignment horizontal="center" vertical="center" wrapText="1"/>
    </xf>
    <xf numFmtId="0" fontId="8" fillId="2" borderId="71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Alignment="1">
      <alignment horizontal="center" vertical="center" wrapText="1"/>
    </xf>
    <xf numFmtId="0" fontId="8" fillId="2" borderId="76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2"/>
  <sheetViews>
    <sheetView tabSelected="1" topLeftCell="A25" workbookViewId="0">
      <selection activeCell="I15" sqref="I15"/>
    </sheetView>
  </sheetViews>
  <sheetFormatPr defaultColWidth="8.7109375" defaultRowHeight="16.5"/>
  <cols>
    <col min="1" max="1" width="7.7109375" style="1" customWidth="1"/>
    <col min="2" max="2" width="19.28515625" style="1" customWidth="1"/>
    <col min="3" max="3" width="4.5703125" style="1" customWidth="1"/>
    <col min="4" max="4" width="28.7109375" style="1" customWidth="1"/>
    <col min="5" max="5" width="14.7109375" style="1" customWidth="1"/>
    <col min="6" max="6" width="21" style="1" customWidth="1"/>
    <col min="7" max="8" width="23.28515625" style="1" customWidth="1"/>
    <col min="9" max="9" width="24.28515625" style="1" customWidth="1"/>
    <col min="10" max="10" width="23.5703125" style="1" customWidth="1"/>
    <col min="11" max="13" width="8.7109375" style="2" bestFit="1" customWidth="1"/>
    <col min="14" max="14" width="2.5703125" style="2" customWidth="1"/>
    <col min="15" max="15" width="8.7109375" style="3" bestFit="1" customWidth="1"/>
    <col min="16" max="20" width="8.7109375" style="2" bestFit="1" customWidth="1"/>
    <col min="21" max="21" width="8.7109375" style="1" bestFit="1" customWidth="1"/>
    <col min="22" max="16384" width="8.7109375" style="1"/>
  </cols>
  <sheetData>
    <row r="1" spans="1:15" ht="7.5" customHeight="1">
      <c r="D1" s="4"/>
      <c r="E1" s="4"/>
      <c r="F1" s="4"/>
      <c r="G1" s="4"/>
      <c r="H1" s="4"/>
      <c r="I1" s="4"/>
      <c r="J1" s="4"/>
      <c r="O1" s="3" t="s">
        <v>0</v>
      </c>
    </row>
    <row r="2" spans="1:15" ht="26.25" customHeight="1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O2" s="3" t="s">
        <v>2</v>
      </c>
    </row>
    <row r="3" spans="1:15" ht="27" customHeight="1">
      <c r="A3" s="5"/>
      <c r="B3" s="5"/>
      <c r="C3" s="5"/>
      <c r="D3" s="5"/>
      <c r="E3" s="5"/>
      <c r="F3" s="5"/>
      <c r="G3" s="5"/>
      <c r="H3" s="5"/>
      <c r="I3" s="5"/>
      <c r="J3" s="5"/>
      <c r="O3" s="3" t="s">
        <v>3</v>
      </c>
    </row>
    <row r="4" spans="1:15" ht="20.25" customHeight="1">
      <c r="A4" s="42" t="s">
        <v>53</v>
      </c>
      <c r="B4" s="43"/>
      <c r="C4" s="44"/>
      <c r="D4" s="45"/>
      <c r="E4" s="46"/>
      <c r="F4" s="47"/>
      <c r="G4" s="48"/>
      <c r="H4" s="49"/>
      <c r="I4" s="50"/>
      <c r="J4" s="51"/>
      <c r="K4" s="6"/>
      <c r="O4" s="3" t="s">
        <v>4</v>
      </c>
    </row>
    <row r="5" spans="1:15" ht="20.25" customHeight="1">
      <c r="A5" s="52" t="s">
        <v>5</v>
      </c>
      <c r="B5" s="53"/>
      <c r="C5" s="54"/>
      <c r="D5" s="55"/>
      <c r="E5" s="56"/>
      <c r="F5" s="57"/>
      <c r="G5" s="58"/>
      <c r="H5" s="59"/>
      <c r="I5" s="60"/>
      <c r="J5" s="61"/>
      <c r="K5" s="7"/>
      <c r="O5" s="3" t="s">
        <v>4</v>
      </c>
    </row>
    <row r="6" spans="1:15" ht="17.2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9" t="s">
        <v>6</v>
      </c>
      <c r="O6" s="3" t="s">
        <v>7</v>
      </c>
    </row>
    <row r="7" spans="1:15" ht="186" customHeight="1">
      <c r="A7" s="78" t="s">
        <v>8</v>
      </c>
      <c r="B7" s="79"/>
      <c r="C7" s="68" t="s">
        <v>9</v>
      </c>
      <c r="D7" s="69"/>
      <c r="E7" s="62" t="s">
        <v>10</v>
      </c>
      <c r="F7" s="63"/>
      <c r="G7" s="64"/>
      <c r="H7" s="65"/>
      <c r="I7" s="66"/>
      <c r="J7" s="67"/>
      <c r="K7" s="9">
        <f>LEN(E7)</f>
        <v>828</v>
      </c>
      <c r="O7" s="3" t="s">
        <v>11</v>
      </c>
    </row>
    <row r="8" spans="1:15" ht="57" customHeight="1">
      <c r="A8" s="80"/>
      <c r="B8" s="81"/>
      <c r="C8" s="70" t="s">
        <v>12</v>
      </c>
      <c r="D8" s="71"/>
      <c r="E8" s="72">
        <v>46296</v>
      </c>
      <c r="F8" s="73"/>
      <c r="G8" s="74"/>
      <c r="H8" s="75"/>
      <c r="I8" s="76"/>
      <c r="J8" s="77"/>
      <c r="K8" s="9"/>
      <c r="O8" s="3" t="s">
        <v>13</v>
      </c>
    </row>
    <row r="9" spans="1:15" ht="57.75" customHeight="1">
      <c r="A9" s="82"/>
      <c r="B9" s="83"/>
      <c r="C9" s="90" t="s">
        <v>14</v>
      </c>
      <c r="D9" s="91"/>
      <c r="E9" s="84" t="s">
        <v>15</v>
      </c>
      <c r="F9" s="85"/>
      <c r="G9" s="86"/>
      <c r="H9" s="87"/>
      <c r="I9" s="88"/>
      <c r="J9" s="89"/>
      <c r="K9" s="9"/>
      <c r="O9" s="3" t="s">
        <v>16</v>
      </c>
    </row>
    <row r="10" spans="1:15" ht="33" customHeight="1">
      <c r="A10" s="92" t="s">
        <v>17</v>
      </c>
      <c r="B10" s="93"/>
      <c r="C10" s="10" t="s">
        <v>18</v>
      </c>
      <c r="D10" s="11"/>
      <c r="E10" s="12"/>
      <c r="F10" s="13"/>
      <c r="G10" s="13"/>
      <c r="H10" s="13"/>
      <c r="I10" s="13"/>
      <c r="J10" s="14"/>
      <c r="K10" s="9"/>
      <c r="O10" s="3" t="s">
        <v>19</v>
      </c>
    </row>
    <row r="11" spans="1:15" ht="46.35" customHeight="1">
      <c r="A11" s="94"/>
      <c r="B11" s="81"/>
      <c r="C11" s="96" t="s">
        <v>20</v>
      </c>
      <c r="D11" s="97"/>
      <c r="E11" s="97"/>
      <c r="F11" s="97"/>
      <c r="G11" s="97"/>
      <c r="H11" s="97"/>
      <c r="I11" s="97"/>
      <c r="J11" s="98"/>
      <c r="K11" s="15"/>
      <c r="L11" s="16"/>
      <c r="M11" s="16"/>
      <c r="N11" s="16"/>
      <c r="O11" s="16"/>
    </row>
    <row r="12" spans="1:15" ht="243.95" customHeight="1">
      <c r="A12" s="95"/>
      <c r="B12" s="81"/>
      <c r="C12" s="99" t="s">
        <v>21</v>
      </c>
      <c r="D12" s="100"/>
      <c r="E12" s="101"/>
      <c r="F12" s="102"/>
      <c r="G12" s="103"/>
      <c r="H12" s="104"/>
      <c r="I12" s="105"/>
      <c r="J12" s="106"/>
      <c r="K12" s="9"/>
      <c r="O12" s="3" t="s">
        <v>22</v>
      </c>
    </row>
    <row r="13" spans="1:15" ht="78.75" customHeight="1">
      <c r="A13" s="127" t="s">
        <v>23</v>
      </c>
      <c r="B13" s="128"/>
      <c r="C13" s="17" t="s">
        <v>24</v>
      </c>
      <c r="D13" s="18" t="s">
        <v>25</v>
      </c>
      <c r="E13" s="18" t="s">
        <v>26</v>
      </c>
      <c r="F13" s="18" t="s">
        <v>27</v>
      </c>
      <c r="G13" s="18" t="s">
        <v>28</v>
      </c>
      <c r="H13" s="18" t="s">
        <v>29</v>
      </c>
      <c r="I13" s="18" t="s">
        <v>30</v>
      </c>
      <c r="J13" s="18" t="s">
        <v>31</v>
      </c>
      <c r="K13" s="9"/>
      <c r="O13" s="3" t="s">
        <v>32</v>
      </c>
    </row>
    <row r="14" spans="1:15" ht="113.25" customHeight="1">
      <c r="A14" s="129"/>
      <c r="B14" s="130"/>
      <c r="C14" s="17">
        <v>1</v>
      </c>
      <c r="D14" s="20" t="s">
        <v>33</v>
      </c>
      <c r="E14" s="21" t="s">
        <v>34</v>
      </c>
      <c r="F14" s="22" t="s">
        <v>35</v>
      </c>
      <c r="G14" s="23">
        <v>89800</v>
      </c>
      <c r="H14" s="23">
        <v>89800</v>
      </c>
      <c r="I14" s="23">
        <v>89800</v>
      </c>
      <c r="J14" s="24" t="s">
        <v>36</v>
      </c>
      <c r="K14" s="9"/>
      <c r="O14" s="3" t="s">
        <v>37</v>
      </c>
    </row>
    <row r="15" spans="1:15" ht="20.25" customHeight="1">
      <c r="A15" s="131"/>
      <c r="B15" s="130"/>
      <c r="C15" s="118" t="s">
        <v>38</v>
      </c>
      <c r="D15" s="119"/>
      <c r="E15" s="120"/>
      <c r="F15" s="22" t="s">
        <v>35</v>
      </c>
      <c r="G15" s="25">
        <f>SUM(G14)</f>
        <v>89800</v>
      </c>
      <c r="H15" s="25">
        <f>SUM(H14)</f>
        <v>89800</v>
      </c>
      <c r="I15" s="25">
        <f>SUM(I14)</f>
        <v>89800</v>
      </c>
      <c r="J15" s="26"/>
      <c r="K15" s="9"/>
    </row>
    <row r="16" spans="1:15" ht="30" customHeight="1">
      <c r="A16" s="107" t="s">
        <v>39</v>
      </c>
      <c r="B16" s="108"/>
      <c r="C16" s="109"/>
      <c r="D16" s="110"/>
      <c r="E16" s="111"/>
      <c r="F16" s="112"/>
      <c r="G16" s="113"/>
      <c r="H16" s="114"/>
      <c r="I16" s="115"/>
      <c r="J16" s="116"/>
      <c r="K16" s="9"/>
    </row>
    <row r="17" spans="1:11" ht="12.75" customHeight="1">
      <c r="A17" s="19"/>
      <c r="B17" s="19"/>
      <c r="C17" s="27"/>
      <c r="D17" s="27"/>
      <c r="E17" s="27"/>
      <c r="F17" s="28"/>
      <c r="G17" s="28"/>
      <c r="H17" s="28"/>
      <c r="I17" s="28"/>
      <c r="J17" s="29"/>
      <c r="K17" s="9"/>
    </row>
    <row r="18" spans="1:11" ht="39.75" customHeight="1">
      <c r="A18" s="117" t="s">
        <v>40</v>
      </c>
      <c r="B18" s="117"/>
      <c r="C18" s="117"/>
      <c r="D18" s="117"/>
      <c r="E18" s="117"/>
      <c r="F18" s="117"/>
      <c r="G18" s="117"/>
      <c r="H18" s="117"/>
      <c r="I18" s="117"/>
      <c r="J18" s="117"/>
      <c r="K18" s="9"/>
    </row>
    <row r="19" spans="1:11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9"/>
    </row>
    <row r="20" spans="1:11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9"/>
    </row>
    <row r="21" spans="1:11" ht="117" customHeight="1">
      <c r="A21" s="8"/>
      <c r="B21" s="125" t="s">
        <v>41</v>
      </c>
      <c r="C21" s="125"/>
      <c r="D21" s="125"/>
      <c r="E21" s="8"/>
      <c r="F21" s="121" t="s">
        <v>42</v>
      </c>
      <c r="G21" s="121"/>
      <c r="H21" s="30"/>
      <c r="I21" s="31" t="s">
        <v>43</v>
      </c>
      <c r="J21" s="32"/>
      <c r="K21" s="9"/>
    </row>
    <row r="22" spans="1:11" ht="169.5" customHeight="1">
      <c r="A22" s="8"/>
      <c r="B22" s="125" t="s">
        <v>44</v>
      </c>
      <c r="C22" s="125"/>
      <c r="D22" s="125"/>
      <c r="E22" s="8"/>
      <c r="F22" s="121" t="s">
        <v>42</v>
      </c>
      <c r="G22" s="121"/>
      <c r="H22" s="30"/>
      <c r="I22" s="31" t="s">
        <v>45</v>
      </c>
      <c r="J22" s="33"/>
      <c r="K22" s="9"/>
    </row>
    <row r="23" spans="1:11" ht="169.5" customHeight="1">
      <c r="A23" s="34"/>
      <c r="B23" s="125" t="s">
        <v>46</v>
      </c>
      <c r="C23" s="125"/>
      <c r="D23" s="125"/>
      <c r="E23" s="8"/>
      <c r="F23" s="121" t="s">
        <v>42</v>
      </c>
      <c r="G23" s="121"/>
      <c r="H23" s="30"/>
      <c r="I23" s="31" t="s">
        <v>47</v>
      </c>
      <c r="J23" s="35"/>
      <c r="K23" s="9"/>
    </row>
    <row r="24" spans="1:11" ht="173.25" customHeight="1">
      <c r="A24" s="34"/>
      <c r="B24" s="125" t="s">
        <v>48</v>
      </c>
      <c r="C24" s="125"/>
      <c r="D24" s="125"/>
      <c r="E24" s="8"/>
      <c r="F24" s="121" t="s">
        <v>42</v>
      </c>
      <c r="G24" s="121"/>
      <c r="H24" s="30"/>
      <c r="I24" s="31" t="s">
        <v>49</v>
      </c>
      <c r="J24" s="36"/>
      <c r="K24" s="9"/>
    </row>
    <row r="25" spans="1:11" ht="151.9" customHeight="1">
      <c r="A25" s="34"/>
      <c r="B25" s="125" t="s">
        <v>50</v>
      </c>
      <c r="C25" s="125"/>
      <c r="D25" s="125"/>
      <c r="E25" s="8"/>
      <c r="F25" s="121" t="s">
        <v>42</v>
      </c>
      <c r="G25" s="121"/>
      <c r="H25" s="30"/>
      <c r="I25" s="31" t="s">
        <v>51</v>
      </c>
      <c r="J25" s="34"/>
      <c r="K25" s="9"/>
    </row>
    <row r="27" spans="1:11" ht="30.75" customHeight="1">
      <c r="A27" s="34"/>
      <c r="B27" s="34" t="s">
        <v>52</v>
      </c>
      <c r="C27" s="34"/>
      <c r="D27" s="34"/>
      <c r="E27" s="34"/>
      <c r="F27" s="34"/>
      <c r="G27" s="122"/>
      <c r="H27" s="122"/>
      <c r="I27" s="122"/>
      <c r="J27" s="122"/>
      <c r="K27" s="9"/>
    </row>
    <row r="28" spans="1:11" ht="17.2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8"/>
    </row>
    <row r="29" spans="1:11" ht="19.5" customHeight="1">
      <c r="A29" s="123"/>
      <c r="B29" s="123"/>
      <c r="C29" s="123"/>
      <c r="D29" s="123"/>
      <c r="E29" s="123"/>
      <c r="F29" s="123"/>
      <c r="G29" s="123"/>
      <c r="H29" s="123"/>
      <c r="I29" s="123"/>
      <c r="J29" s="123"/>
      <c r="K29" s="9"/>
    </row>
    <row r="30" spans="1:11" ht="12" customHeight="1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9"/>
    </row>
    <row r="31" spans="1:11" ht="30.75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9"/>
    </row>
    <row r="32" spans="1:11" ht="18" customHeight="1"/>
    <row r="33" spans="1:11" ht="18" customHeight="1"/>
    <row r="34" spans="1:11" ht="18" customHeight="1"/>
    <row r="35" spans="1:11" ht="18" customHeight="1"/>
    <row r="36" spans="1:11" ht="18" customHeight="1"/>
    <row r="37" spans="1:11" ht="34.5" customHeight="1">
      <c r="A37" s="126"/>
      <c r="B37" s="126"/>
    </row>
    <row r="38" spans="1:11" ht="36.75" customHeight="1"/>
    <row r="39" spans="1:11" ht="18" customHeight="1"/>
    <row r="40" spans="1:11" ht="18" customHeight="1"/>
    <row r="41" spans="1:11" ht="18" customHeight="1"/>
    <row r="42" spans="1:11" ht="33" customHeight="1">
      <c r="K42" s="40"/>
    </row>
  </sheetData>
  <mergeCells count="31">
    <mergeCell ref="A29:J29"/>
    <mergeCell ref="A30:J30"/>
    <mergeCell ref="B21:D21"/>
    <mergeCell ref="B22:D22"/>
    <mergeCell ref="A37:B37"/>
    <mergeCell ref="B23:D23"/>
    <mergeCell ref="B24:D24"/>
    <mergeCell ref="B25:D25"/>
    <mergeCell ref="F21:G21"/>
    <mergeCell ref="F22:G22"/>
    <mergeCell ref="F23:G23"/>
    <mergeCell ref="F24:G24"/>
    <mergeCell ref="G27:J27"/>
    <mergeCell ref="F25:G25"/>
    <mergeCell ref="A10:B12"/>
    <mergeCell ref="C11:J11"/>
    <mergeCell ref="C12:J12"/>
    <mergeCell ref="A16:J16"/>
    <mergeCell ref="A18:J18"/>
    <mergeCell ref="C15:E15"/>
    <mergeCell ref="A13:B15"/>
    <mergeCell ref="C8:D8"/>
    <mergeCell ref="E8:J8"/>
    <mergeCell ref="A7:B9"/>
    <mergeCell ref="E9:J9"/>
    <mergeCell ref="C9:D9"/>
    <mergeCell ref="A2:J2"/>
    <mergeCell ref="A4:J4"/>
    <mergeCell ref="A5:J5"/>
    <mergeCell ref="E7:J7"/>
    <mergeCell ref="C7:D7"/>
  </mergeCells>
  <dataValidations count="1">
    <dataValidation type="list" allowBlank="1" showInputMessage="1" showErrorMessage="1" sqref="E9:J9">
      <formula1>$O$2:$O$14</formula1>
    </dataValidation>
  </dataValidations>
  <pageMargins left="0.70833331346511796" right="0.70833331346511796" top="0.74791663885116599" bottom="0.74791663885116599" header="0.51181101799011197" footer="0.51181101799011197"/>
  <pageSetup paperSize="9" fitToHeight="0" orientation="portrait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Для подписания</vt:lpstr>
      <vt:lpstr>'Для подписания'!Область_печати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Хакимжанова Евгения Игоревна</cp:lastModifiedBy>
  <dcterms:created xsi:type="dcterms:W3CDTF">2017-01-20T08:22:37Z</dcterms:created>
  <dcterms:modified xsi:type="dcterms:W3CDTF">2025-10-10T12:29:20Z</dcterms:modified>
</cp:coreProperties>
</file>