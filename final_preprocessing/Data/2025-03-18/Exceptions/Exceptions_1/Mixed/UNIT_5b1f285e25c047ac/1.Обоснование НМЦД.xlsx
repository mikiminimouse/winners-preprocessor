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ля подписания" sheetId="1" state="visible" r:id="rId3"/>
  </sheets>
  <definedNames>
    <definedName function="false" hidden="false" localSheetId="0" name="_xlnm.Print_Area" vbProcedure="false">'Для подписания'!$A$1:$J$29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G14" authorId="0">
      <text>
        <r>
          <rPr>
            <sz val="10"/>
            <rFont val="Open Sans"/>
            <family val="2"/>
          </rPr>
          <t xml:space="preserve">цена за единицу указанного товара
</t>
        </r>
        <r>
          <rPr>
            <sz val="8"/>
            <color rgb="FF000000"/>
            <rFont val="Tahoma"/>
            <family val="2"/>
            <charset val="204"/>
          </rPr>
          <t xml:space="preserve">например: 1000,00</t>
        </r>
      </text>
    </comment>
    <comment ref="G15" authorId="0">
      <text>
        <r>
          <rPr>
            <sz val="10"/>
            <rFont val="Open Sans"/>
            <family val="2"/>
          </rPr>
          <t xml:space="preserve">цена за единицу указанного товара
</t>
        </r>
        <r>
          <rPr>
            <sz val="8"/>
            <color rgb="FF000000"/>
            <rFont val="Tahoma"/>
            <family val="2"/>
            <charset val="204"/>
          </rPr>
          <t xml:space="preserve">например: 1000,00</t>
        </r>
      </text>
    </comment>
    <comment ref="H14" authorId="0">
      <text>
        <r>
          <rPr>
            <sz val="10"/>
            <rFont val="Open Sans"/>
            <family val="2"/>
          </rPr>
          <t xml:space="preserve">цена за единицу указанного товара
</t>
        </r>
        <r>
          <rPr>
            <sz val="8"/>
            <color rgb="FF000000"/>
            <rFont val="Tahoma"/>
            <family val="2"/>
            <charset val="204"/>
          </rPr>
          <t xml:space="preserve">например: 1000,00</t>
        </r>
      </text>
    </comment>
    <comment ref="H15" authorId="0">
      <text>
        <r>
          <rPr>
            <sz val="10"/>
            <rFont val="Open Sans"/>
            <family val="2"/>
          </rPr>
          <t xml:space="preserve">цена за единицу указанного товара
</t>
        </r>
        <r>
          <rPr>
            <sz val="8"/>
            <color rgb="FF000000"/>
            <rFont val="Tahoma"/>
            <family val="2"/>
            <charset val="204"/>
          </rPr>
          <t xml:space="preserve">например: 1000,00</t>
        </r>
      </text>
    </comment>
  </commentList>
</comments>
</file>

<file path=xl/sharedStrings.xml><?xml version="1.0" encoding="utf-8"?>
<sst xmlns="http://schemas.openxmlformats.org/spreadsheetml/2006/main" count="59" uniqueCount="53">
  <si>
    <t xml:space="preserve">конкурс </t>
  </si>
  <si>
    <t xml:space="preserve">Обоснование начальной (максимальной) цены договора расчетным методом</t>
  </si>
  <si>
    <t xml:space="preserve">конкурс в электронной форме</t>
  </si>
  <si>
    <t xml:space="preserve">закрытый конкурс</t>
  </si>
  <si>
    <r>
      <rPr>
        <sz val="13"/>
        <color theme="1"/>
        <rFont val="Times New Roman"/>
        <family val="1"/>
        <charset val="1"/>
      </rPr>
      <t xml:space="preserve">Оказание услуг по размещению и инженерно-техническому обеспечению средств Южного Центра ОВД филиала «Аэронавигация Юга» ФГУП «Госкорпорация по ОрВД»                                                            на объектах </t>
    </r>
    <r>
      <rPr>
        <sz val="13"/>
        <color rgb="FF000000"/>
        <rFont val="Times New Roman"/>
        <family val="1"/>
        <charset val="1"/>
      </rPr>
      <t xml:space="preserve">АО «Национальная Башенная Компания»</t>
    </r>
  </si>
  <si>
    <t xml:space="preserve">аукцион в электронной форме</t>
  </si>
  <si>
    <t xml:space="preserve">(предмет договора)</t>
  </si>
  <si>
    <t xml:space="preserve">не превышать 1000</t>
  </si>
  <si>
    <t xml:space="preserve">закрытый аукцион</t>
  </si>
  <si>
    <t xml:space="preserve">Основные характеристики предмета закупки:</t>
  </si>
  <si>
    <t xml:space="preserve">Описание предмета закупки:</t>
  </si>
  <si>
    <r>
      <rPr>
        <sz val="13"/>
        <rFont val="Liberation Serif;Times New Roman"/>
        <family val="1"/>
        <charset val="1"/>
      </rPr>
      <t xml:space="preserve">Закупка осуществляется с целью </t>
    </r>
    <r>
      <rPr>
        <sz val="13"/>
        <color rgb="FF000000"/>
        <rFont val="Liberation Serif;Times New Roman"/>
        <family val="1"/>
        <charset val="1"/>
      </rPr>
      <t xml:space="preserve"> размещении технологического оборудования  Южного Центра ОВД  для определения местоположения воздушных судов на посадочной прямой, рабочей площади аэродрома Ростов-на-Дону (Платов).</t>
    </r>
    <r>
      <rPr>
        <sz val="13"/>
        <rFont val="Liberation Serif;Times New Roman"/>
        <family val="1"/>
        <charset val="1"/>
      </rPr>
      <t xml:space="preserve"> 
</t>
    </r>
    <r>
      <rPr>
        <sz val="13"/>
        <color rgb="FF000000"/>
        <rFont val="Times New Roman"/>
        <family val="1"/>
        <charset val="1"/>
      </rPr>
      <t xml:space="preserve">Срок оказания услуг: с 01.01.2026  по 31.12.2030  
Периодичность оказания услуг:  е</t>
    </r>
    <r>
      <rPr>
        <sz val="13"/>
        <color rgb="FF000000"/>
        <rFont val="Liberation Serif;Times New Roman"/>
        <family val="1"/>
        <charset val="1"/>
      </rPr>
      <t xml:space="preserve">жедневно, круглосуточно
</t>
    </r>
    <r>
      <rPr>
        <sz val="13"/>
        <color rgb="FF000000"/>
        <rFont val="Times New Roman"/>
        <family val="1"/>
        <charset val="1"/>
      </rPr>
      <t xml:space="preserve">Функциональные и технические характеристики:</t>
    </r>
    <r>
      <rPr>
        <b val="true"/>
        <sz val="13"/>
        <color rgb="FF000000"/>
        <rFont val="Times New Roman"/>
        <family val="1"/>
        <charset val="1"/>
      </rPr>
      <t xml:space="preserve">  </t>
    </r>
    <r>
      <rPr>
        <sz val="13"/>
        <color rgb="FF000000"/>
        <rFont val="Times New Roman"/>
        <family val="1"/>
        <charset val="1"/>
      </rPr>
      <t xml:space="preserve">обеспечить сохранность оборудования, противопожарную безопасность в соответствии с нормативными документами. 
</t>
    </r>
    <r>
      <rPr>
        <sz val="13"/>
        <color rgb="FFFF0000"/>
        <rFont val="Times New Roman"/>
        <family val="1"/>
        <charset val="204"/>
      </rPr>
      <t xml:space="preserve">
</t>
    </r>
    <r>
      <rPr>
        <sz val="13"/>
        <color rgb="FF000000"/>
        <rFont val="Times New Roman"/>
        <family val="1"/>
        <charset val="204"/>
      </rPr>
      <t xml:space="preserve">Подписание исполнительных документов осуществляется по адресу: </t>
    </r>
    <r>
      <rPr>
        <sz val="13"/>
        <rFont val="Times New Roman"/>
        <family val="1"/>
        <charset val="1"/>
      </rPr>
      <t xml:space="preserve">Ростовская область, Аксайский район, станица Грушевская, аэропорт, Южный Центр ОВД</t>
    </r>
  </si>
  <si>
    <t xml:space="preserve">запрос котировок</t>
  </si>
  <si>
    <t xml:space="preserve">Планируемый срок исполнения договора: (месяц, год)</t>
  </si>
  <si>
    <t xml:space="preserve">запрос котировок в электронной форме</t>
  </si>
  <si>
    <t xml:space="preserve">Способ определения поставщика (исполнителя, подрядчика):</t>
  </si>
  <si>
    <t xml:space="preserve">закупка у единственного поставщика (исполнителя, подрядчика)</t>
  </si>
  <si>
    <t xml:space="preserve">закрытый запрос котировок</t>
  </si>
  <si>
    <t xml:space="preserve">Используемый метод определения НМЦД с обоснованием:</t>
  </si>
  <si>
    <t xml:space="preserve">Расчетный метод</t>
  </si>
  <si>
    <t xml:space="preserve">запрос предложений</t>
  </si>
  <si>
    <t xml:space="preserve">Расчетный метод применяется при отсутствии необходимого количества поставщиков на рынке. 
При этом НМЦД определяется на основании имеющейся ценовой информации.</t>
  </si>
  <si>
    <r>
      <rPr>
        <sz val="13"/>
        <rFont val="Times New Roman"/>
        <family val="1"/>
        <charset val="204"/>
      </rPr>
      <t xml:space="preserve">Применение методов для обоснования и определения начальной (максимальной) цены договора не представляется возможным по следующим причинам:
1) метод сопоставимых рыночных цен (анализ рынка): проанализирован рынок данного вида товара (работы, услуги) путем:
</t>
    </r>
    <r>
      <rPr>
        <sz val="13"/>
        <color rgb="FF000000"/>
        <rFont val="Times New Roman"/>
        <family val="1"/>
        <charset val="1"/>
      </rPr>
      <t xml:space="preserve">Н</t>
    </r>
    <r>
      <rPr>
        <sz val="13"/>
        <rFont val="Times New Roman"/>
        <family val="1"/>
        <charset val="1"/>
      </rPr>
      <t xml:space="preserve">аправления адресного запроса цен единственному поставщику (исполнителю подрядчику). В результате получено ценовое предложение, отвечающее всем условиям закупки. 
</t>
    </r>
    <r>
      <rPr>
        <sz val="13"/>
        <rFont val="Times New Roman"/>
        <family val="1"/>
        <charset val="204"/>
      </rPr>
      <t xml:space="preserve">2) тарифный метод не применим по причине того, что цены на необходимые услуги не подлежат государственному регулированию и не устанавливается муниципальными правовыми актами;
3) проектно-сметный метод применить невозможно в связи с несоответствием закупаемой услуги критериям, при которых применяется проектно-сметный метод (строительство, реконструкцию, капитальный ремонт объекта капитального строительства, проведение работ по сохранению объектов культурного наследия);
4) затратный метод не применим по причине того, что потенциальный Исполнитель не раскрывает производственных затрат и предлагает фиксированную цену на основании утвержденного Прейскуранта цен. Расчетный метод применяется при отсутствии необходимого количества поставщиков на рынке.
</t>
    </r>
    <r>
      <rPr>
        <sz val="13"/>
        <rFont val="Times New Roman"/>
        <family val="1"/>
        <charset val="1"/>
      </rPr>
      <t xml:space="preserve">
Закупка осуществляется у единственного поставщика (исполнителя, подрядчика) на основании п. 31 ч. 2 ст. 17 Положения о закупке товаров, работ, услуг ФГУП «Госкорпорация по ОрВД».</t>
    </r>
  </si>
  <si>
    <t xml:space="preserve">запрос предложений в электронной форме</t>
  </si>
  <si>
    <t xml:space="preserve">Расчёт НМЦД</t>
  </si>
  <si>
    <t xml:space="preserve">№ п/п</t>
  </si>
  <si>
    <t xml:space="preserve">Наименование товара, работы услуги</t>
  </si>
  <si>
    <t xml:space="preserve">Единица измерения</t>
  </si>
  <si>
    <t xml:space="preserve">Количество (объем) закупаемого товара (работы, услуги)</t>
  </si>
  <si>
    <t xml:space="preserve">Цена единицы товара (работы, услуги)</t>
  </si>
  <si>
    <t xml:space="preserve">Приведена в соответствии с лимитом</t>
  </si>
  <si>
    <t xml:space="preserve">Начальная (максимальная) цена договора</t>
  </si>
  <si>
    <t xml:space="preserve">Комментарий по основанию расчета</t>
  </si>
  <si>
    <t xml:space="preserve">закрытый запрос предложений</t>
  </si>
  <si>
    <t xml:space="preserve">Оказание услуг по размещению и инженерно-техническому обеспечению средств Южного Центра ОВД филиала «Аэронавигация Юга» ФГУП «Госкорпорация по ОрВД»  на объектах АО «Национальная Башенная Компания». 25061105281</t>
  </si>
  <si>
    <t xml:space="preserve">362 Месяц</t>
  </si>
  <si>
    <t xml:space="preserve">Расчет составлен на основании коммерческого предложения Вх. № ЮЦ – 1802 от 13.10.2025 г.</t>
  </si>
  <si>
    <t xml:space="preserve">конкурс в электронной форме, участниками которого могут являться только субъекты малого и среднего предпринимательства</t>
  </si>
  <si>
    <t xml:space="preserve">Оказание услуг по размещению и инженерно-техническому обеспечению средств Южного Центра ОВД филиала «Аэронавигация Юга» ФГУП «Госкорпорация по ОрВД»  на объектах АО «Национальная Башенная Компания». 25061101955</t>
  </si>
  <si>
    <t xml:space="preserve">аукцион в электронной форме, участниками которого могут являться только субъекты малого и среднего предпринимательства</t>
  </si>
  <si>
    <t xml:space="preserve">Итоговое значение цены:</t>
  </si>
  <si>
    <r>
      <rPr>
        <b val="true"/>
        <sz val="13"/>
        <color theme="1"/>
        <rFont val="Times New Roman"/>
        <family val="1"/>
        <charset val="1"/>
      </rPr>
      <t xml:space="preserve">Дата подготовки обоснования НМЦД: "17</t>
    </r>
    <r>
      <rPr>
        <b val="true"/>
        <sz val="13"/>
        <color rgb="FF000000"/>
        <rFont val="Times New Roman"/>
        <family val="1"/>
        <charset val="1"/>
      </rPr>
      <t xml:space="preserve">"октября </t>
    </r>
    <r>
      <rPr>
        <b val="true"/>
        <sz val="13"/>
        <color theme="1"/>
        <rFont val="Times New Roman"/>
        <family val="1"/>
        <charset val="1"/>
      </rPr>
      <t xml:space="preserve">2025 г.</t>
    </r>
  </si>
  <si>
    <r>
      <rPr>
        <b val="true"/>
        <sz val="13"/>
        <color theme="1"/>
        <rFont val="Times New Roman"/>
        <family val="1"/>
        <charset val="204"/>
      </rPr>
      <t xml:space="preserve">Начальная (максимальная) цена договора установлена в размере </t>
    </r>
    <r>
      <rPr>
        <b val="true"/>
        <sz val="13"/>
        <color theme="1"/>
        <rFont val="Times New Roman"/>
        <family val="1"/>
        <charset val="1"/>
      </rPr>
      <t xml:space="preserve">в размере 5 040 000 (Пять миллионов сорок тысяч)</t>
    </r>
    <r>
      <rPr>
        <b val="true"/>
        <sz val="13"/>
        <color theme="1"/>
        <rFont val="Times New Roman"/>
        <family val="1"/>
        <charset val="204"/>
      </rPr>
      <t xml:space="preserve"> рублей 00 копеек, </t>
    </r>
    <r>
      <rPr>
        <b val="true"/>
        <sz val="13"/>
        <color rgb="FF000000"/>
        <rFont val="Times New Roman"/>
        <family val="1"/>
        <charset val="204"/>
      </rPr>
      <t xml:space="preserve">включая все налоги и другие обязательные платежи</t>
    </r>
  </si>
  <si>
    <t xml:space="preserve">Директор филиала</t>
  </si>
  <si>
    <t xml:space="preserve">____________________
подпись</t>
  </si>
  <si>
    <t xml:space="preserve">Ю.П. Токарев</t>
  </si>
  <si>
    <t xml:space="preserve">Заместитель директора филиала</t>
  </si>
  <si>
    <t xml:space="preserve">С.В. Исаев</t>
  </si>
  <si>
    <t xml:space="preserve">И.о. заместителя директора филиала по безопасности</t>
  </si>
  <si>
    <t xml:space="preserve">К.В. Лайко</t>
  </si>
  <si>
    <t xml:space="preserve">Начальник Южного Центра ОВД</t>
  </si>
  <si>
    <t xml:space="preserve">Ю.Н. Нестеров</t>
  </si>
  <si>
    <t xml:space="preserve">Захарова Татьяна Георгиевна/276-70-55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</si>
</sst>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mmmm\ yyyy;@"/>
    <numFmt numFmtId="166" formatCode="@"/>
    <numFmt numFmtId="167" formatCode="#,##0.00000"/>
    <numFmt numFmtId="168" formatCode="#,##0.00"/>
    <numFmt numFmtId="169" formatCode="0.00"/>
  </numFmts>
  <fonts count="3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Times New Roman"/>
      <family val="1"/>
      <charset val="1"/>
    </font>
    <font>
      <sz val="13"/>
      <color theme="0" tint="-0.35"/>
      <name val="Times New Roman"/>
      <family val="1"/>
      <charset val="1"/>
    </font>
    <font>
      <sz val="13"/>
      <color rgb="FFFF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3"/>
      <color rgb="FF000000"/>
      <name val="Times New Roman"/>
      <family val="1"/>
      <charset val="1"/>
    </font>
    <font>
      <sz val="13"/>
      <color rgb="FF000000"/>
      <name val="Times New Roman"/>
      <family val="1"/>
      <charset val="1"/>
    </font>
    <font>
      <b val="true"/>
      <sz val="13"/>
      <color theme="0" tint="-0.35"/>
      <name val="Times New Roman"/>
      <family val="1"/>
      <charset val="1"/>
    </font>
    <font>
      <vertAlign val="superscript"/>
      <sz val="13"/>
      <color theme="1"/>
      <name val="Times New Roman"/>
      <family val="1"/>
      <charset val="204"/>
    </font>
    <font>
      <sz val="13"/>
      <name val="Liberation Serif;Times New Roman"/>
      <family val="1"/>
      <charset val="1"/>
    </font>
    <font>
      <sz val="13"/>
      <color rgb="FF000000"/>
      <name val="Liberation Serif;Times New Roman"/>
      <family val="1"/>
      <charset val="1"/>
    </font>
    <font>
      <sz val="13"/>
      <color rgb="FFFF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3"/>
      <name val="Times New Roman"/>
      <family val="1"/>
      <charset val="1"/>
    </font>
    <font>
      <i val="true"/>
      <sz val="13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3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b val="true"/>
      <sz val="13"/>
      <color theme="1"/>
      <name val="Times New Roman"/>
      <family val="1"/>
      <charset val="1"/>
    </font>
    <font>
      <b val="true"/>
      <sz val="13"/>
      <color theme="1"/>
      <name val="Times New Roman"/>
      <family val="1"/>
      <charset val="204"/>
    </font>
    <font>
      <b val="true"/>
      <sz val="13"/>
      <color rgb="FF000000"/>
      <name val="Times New Roman"/>
      <family val="1"/>
      <charset val="204"/>
    </font>
    <font>
      <sz val="11"/>
      <name val="Times New Roman"/>
      <family val="1"/>
      <charset val="1"/>
    </font>
    <font>
      <i val="true"/>
      <sz val="13"/>
      <name val="Times New Roman"/>
      <family val="1"/>
      <charset val="1"/>
    </font>
    <font>
      <sz val="12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0"/>
      <name val="Open Sans"/>
      <family val="2"/>
    </font>
    <font>
      <sz val="8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2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2" fillId="0" borderId="13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22" fillId="0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3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2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2" fillId="0" borderId="1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9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4" colorId="64" zoomScale="75" zoomScaleNormal="75" zoomScalePageLayoutView="100" workbookViewId="0">
      <selection pane="topLeft" activeCell="A4" activeCellId="0" sqref="A4"/>
    </sheetView>
  </sheetViews>
  <sheetFormatPr defaultColWidth="8.71484375" defaultRowHeight="16.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19.29"/>
    <col collapsed="false" customWidth="true" hidden="false" outlineLevel="0" max="3" min="3" style="1" width="4.57"/>
    <col collapsed="false" customWidth="true" hidden="false" outlineLevel="0" max="4" min="4" style="1" width="28.71"/>
    <col collapsed="false" customWidth="true" hidden="false" outlineLevel="0" max="5" min="5" style="1" width="14.71"/>
    <col collapsed="false" customWidth="true" hidden="false" outlineLevel="0" max="6" min="6" style="1" width="21"/>
    <col collapsed="false" customWidth="true" hidden="false" outlineLevel="0" max="8" min="7" style="1" width="23.29"/>
    <col collapsed="false" customWidth="true" hidden="false" outlineLevel="0" max="9" min="9" style="1" width="24.29"/>
    <col collapsed="false" customWidth="true" hidden="false" outlineLevel="0" max="10" min="10" style="1" width="23.57"/>
    <col collapsed="false" customWidth="false" hidden="false" outlineLevel="0" max="13" min="11" style="2" width="8.71"/>
    <col collapsed="false" customWidth="true" hidden="false" outlineLevel="0" max="14" min="14" style="2" width="2.57"/>
    <col collapsed="false" customWidth="false" hidden="false" outlineLevel="0" max="15" min="15" style="3" width="8.71"/>
    <col collapsed="false" customWidth="false" hidden="false" outlineLevel="0" max="20" min="16" style="2" width="8.71"/>
    <col collapsed="false" customWidth="false" hidden="false" outlineLevel="0" max="16384" min="21" style="1" width="8.71"/>
  </cols>
  <sheetData>
    <row r="1" customFormat="false" ht="7.5" hidden="false" customHeight="true" outlineLevel="0" collapsed="false">
      <c r="D1" s="4"/>
      <c r="E1" s="4"/>
      <c r="F1" s="4"/>
      <c r="G1" s="4"/>
      <c r="H1" s="4"/>
      <c r="I1" s="4"/>
      <c r="J1" s="4"/>
      <c r="O1" s="3" t="s">
        <v>0</v>
      </c>
    </row>
    <row r="2" customFormat="false" ht="26.25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O2" s="3" t="s">
        <v>2</v>
      </c>
    </row>
    <row r="3" customFormat="false" ht="27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O3" s="3" t="s">
        <v>3</v>
      </c>
    </row>
    <row r="4" customFormat="false" ht="38.8" hidden="false" customHeight="true" outlineLevel="0" collapsed="false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8"/>
      <c r="O4" s="3" t="s">
        <v>5</v>
      </c>
    </row>
    <row r="5" customFormat="false" ht="20.25" hidden="false" customHeight="true" outlineLevel="0" collapsed="false">
      <c r="A5" s="9" t="s">
        <v>6</v>
      </c>
      <c r="B5" s="9"/>
      <c r="C5" s="9"/>
      <c r="D5" s="9"/>
      <c r="E5" s="9"/>
      <c r="F5" s="9"/>
      <c r="G5" s="9"/>
      <c r="H5" s="9"/>
      <c r="I5" s="9"/>
      <c r="J5" s="9"/>
      <c r="K5" s="10"/>
      <c r="O5" s="3" t="s">
        <v>5</v>
      </c>
    </row>
    <row r="6" customFormat="false" ht="17.25" hidden="false" customHeight="tru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2" t="s">
        <v>7</v>
      </c>
      <c r="O6" s="3" t="s">
        <v>8</v>
      </c>
    </row>
    <row r="7" customFormat="false" ht="202.3" hidden="false" customHeight="true" outlineLevel="0" collapsed="false">
      <c r="A7" s="13" t="s">
        <v>9</v>
      </c>
      <c r="B7" s="13"/>
      <c r="C7" s="14" t="s">
        <v>10</v>
      </c>
      <c r="D7" s="14"/>
      <c r="E7" s="15" t="s">
        <v>11</v>
      </c>
      <c r="F7" s="15"/>
      <c r="G7" s="15"/>
      <c r="H7" s="15"/>
      <c r="I7" s="15"/>
      <c r="J7" s="15"/>
      <c r="K7" s="12" t="n">
        <f aca="false">LEN(E7)</f>
        <v>623</v>
      </c>
      <c r="O7" s="3" t="s">
        <v>12</v>
      </c>
    </row>
    <row r="8" customFormat="false" ht="77.25" hidden="false" customHeight="true" outlineLevel="0" collapsed="false">
      <c r="A8" s="13"/>
      <c r="B8" s="13"/>
      <c r="C8" s="16" t="s">
        <v>13</v>
      </c>
      <c r="D8" s="16"/>
      <c r="E8" s="17" t="n">
        <v>47849</v>
      </c>
      <c r="F8" s="17"/>
      <c r="G8" s="17"/>
      <c r="H8" s="17"/>
      <c r="I8" s="17"/>
      <c r="J8" s="17"/>
      <c r="K8" s="12"/>
      <c r="O8" s="3" t="s">
        <v>14</v>
      </c>
    </row>
    <row r="9" customFormat="false" ht="57.75" hidden="false" customHeight="true" outlineLevel="0" collapsed="false">
      <c r="A9" s="13"/>
      <c r="B9" s="13"/>
      <c r="C9" s="18" t="s">
        <v>15</v>
      </c>
      <c r="D9" s="18"/>
      <c r="E9" s="19" t="s">
        <v>16</v>
      </c>
      <c r="F9" s="19"/>
      <c r="G9" s="19"/>
      <c r="H9" s="19"/>
      <c r="I9" s="19"/>
      <c r="J9" s="19"/>
      <c r="K9" s="12"/>
      <c r="O9" s="3" t="s">
        <v>17</v>
      </c>
    </row>
    <row r="10" customFormat="false" ht="33" hidden="false" customHeight="true" outlineLevel="0" collapsed="false">
      <c r="A10" s="20" t="s">
        <v>18</v>
      </c>
      <c r="B10" s="20"/>
      <c r="C10" s="21" t="s">
        <v>19</v>
      </c>
      <c r="D10" s="22"/>
      <c r="E10" s="23"/>
      <c r="F10" s="24"/>
      <c r="G10" s="24"/>
      <c r="H10" s="24"/>
      <c r="I10" s="24"/>
      <c r="J10" s="25"/>
      <c r="K10" s="12"/>
      <c r="O10" s="3" t="s">
        <v>20</v>
      </c>
    </row>
    <row r="11" customFormat="false" ht="32.05" hidden="false" customHeight="true" outlineLevel="0" collapsed="false">
      <c r="A11" s="20"/>
      <c r="B11" s="20"/>
      <c r="C11" s="26" t="s">
        <v>21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8"/>
    </row>
    <row r="12" customFormat="false" ht="242.95" hidden="false" customHeight="true" outlineLevel="0" collapsed="false">
      <c r="A12" s="20"/>
      <c r="B12" s="20"/>
      <c r="C12" s="29" t="s">
        <v>22</v>
      </c>
      <c r="D12" s="29"/>
      <c r="E12" s="29"/>
      <c r="F12" s="29"/>
      <c r="G12" s="29"/>
      <c r="H12" s="29"/>
      <c r="I12" s="29"/>
      <c r="J12" s="29"/>
      <c r="K12" s="12"/>
      <c r="O12" s="3" t="s">
        <v>23</v>
      </c>
    </row>
    <row r="13" customFormat="false" ht="78.75" hidden="false" customHeight="true" outlineLevel="0" collapsed="false">
      <c r="A13" s="30" t="s">
        <v>24</v>
      </c>
      <c r="B13" s="30"/>
      <c r="C13" s="31" t="s">
        <v>25</v>
      </c>
      <c r="D13" s="32" t="s">
        <v>26</v>
      </c>
      <c r="E13" s="32" t="s">
        <v>27</v>
      </c>
      <c r="F13" s="32" t="s">
        <v>28</v>
      </c>
      <c r="G13" s="32" t="s">
        <v>29</v>
      </c>
      <c r="H13" s="32" t="s">
        <v>30</v>
      </c>
      <c r="I13" s="32" t="s">
        <v>31</v>
      </c>
      <c r="J13" s="32" t="s">
        <v>32</v>
      </c>
      <c r="K13" s="12"/>
      <c r="O13" s="3" t="s">
        <v>33</v>
      </c>
    </row>
    <row r="14" customFormat="false" ht="114.4" hidden="false" customHeight="true" outlineLevel="0" collapsed="false">
      <c r="A14" s="30"/>
      <c r="B14" s="30"/>
      <c r="C14" s="33" t="n">
        <v>1</v>
      </c>
      <c r="D14" s="34" t="s">
        <v>34</v>
      </c>
      <c r="E14" s="35" t="s">
        <v>35</v>
      </c>
      <c r="F14" s="36" t="n">
        <v>60</v>
      </c>
      <c r="G14" s="37" t="n">
        <v>42000</v>
      </c>
      <c r="H14" s="37" t="n">
        <v>42000</v>
      </c>
      <c r="I14" s="38" t="n">
        <f aca="false">ROUND(H14*F14,2)</f>
        <v>2520000</v>
      </c>
      <c r="J14" s="39" t="s">
        <v>36</v>
      </c>
      <c r="K14" s="12"/>
      <c r="O14" s="3" t="s">
        <v>37</v>
      </c>
    </row>
    <row r="15" customFormat="false" ht="113.55" hidden="false" customHeight="true" outlineLevel="0" collapsed="false">
      <c r="A15" s="30"/>
      <c r="B15" s="30"/>
      <c r="C15" s="40" t="n">
        <v>2</v>
      </c>
      <c r="D15" s="34" t="s">
        <v>38</v>
      </c>
      <c r="E15" s="41" t="s">
        <v>35</v>
      </c>
      <c r="F15" s="42" t="n">
        <v>60</v>
      </c>
      <c r="G15" s="37" t="n">
        <v>42000</v>
      </c>
      <c r="H15" s="37" t="n">
        <v>42000</v>
      </c>
      <c r="I15" s="38" t="n">
        <f aca="false">ROUND(H15*F15,2)</f>
        <v>2520000</v>
      </c>
      <c r="J15" s="39" t="s">
        <v>36</v>
      </c>
      <c r="K15" s="12"/>
      <c r="O15" s="3" t="s">
        <v>39</v>
      </c>
    </row>
    <row r="16" customFormat="false" ht="20.25" hidden="false" customHeight="true" outlineLevel="0" collapsed="false">
      <c r="A16" s="30"/>
      <c r="B16" s="30"/>
      <c r="C16" s="31" t="s">
        <v>40</v>
      </c>
      <c r="D16" s="31"/>
      <c r="E16" s="31"/>
      <c r="F16" s="43"/>
      <c r="G16" s="43" t="n">
        <f aca="false">SUM(G14:G15)</f>
        <v>84000</v>
      </c>
      <c r="H16" s="43" t="n">
        <f aca="false">SUM(H14:H15)</f>
        <v>84000</v>
      </c>
      <c r="I16" s="43" t="n">
        <f aca="false">SUM(I14:I15)</f>
        <v>5040000</v>
      </c>
      <c r="J16" s="44"/>
      <c r="K16" s="12"/>
    </row>
    <row r="17" customFormat="false" ht="30" hidden="false" customHeight="true" outlineLevel="0" collapsed="false">
      <c r="A17" s="45" t="s">
        <v>41</v>
      </c>
      <c r="B17" s="45"/>
      <c r="C17" s="45"/>
      <c r="D17" s="45"/>
      <c r="E17" s="45"/>
      <c r="F17" s="45"/>
      <c r="G17" s="45"/>
      <c r="H17" s="45"/>
      <c r="I17" s="45"/>
      <c r="J17" s="45"/>
      <c r="K17" s="12"/>
    </row>
    <row r="18" customFormat="false" ht="12.75" hidden="false" customHeight="true" outlineLevel="0" collapsed="false">
      <c r="A18" s="46"/>
      <c r="B18" s="46"/>
      <c r="C18" s="47"/>
      <c r="D18" s="47"/>
      <c r="E18" s="47"/>
      <c r="F18" s="48"/>
      <c r="G18" s="48"/>
      <c r="H18" s="48"/>
      <c r="I18" s="48"/>
      <c r="J18" s="49"/>
      <c r="K18" s="12"/>
    </row>
    <row r="19" customFormat="false" ht="38.8" hidden="false" customHeight="true" outlineLevel="0" collapsed="false">
      <c r="A19" s="50" t="s">
        <v>42</v>
      </c>
      <c r="B19" s="50"/>
      <c r="C19" s="50"/>
      <c r="D19" s="50"/>
      <c r="E19" s="50"/>
      <c r="F19" s="50"/>
      <c r="G19" s="50"/>
      <c r="H19" s="50"/>
      <c r="I19" s="50"/>
      <c r="J19" s="50"/>
      <c r="K19" s="12"/>
    </row>
    <row r="20" customFormat="false" ht="15.7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customFormat="false" ht="15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2"/>
    </row>
    <row r="22" customFormat="false" ht="117" hidden="false" customHeight="true" outlineLevel="0" collapsed="false">
      <c r="A22" s="11"/>
      <c r="B22" s="51" t="s">
        <v>43</v>
      </c>
      <c r="C22" s="51"/>
      <c r="D22" s="51"/>
      <c r="E22" s="11"/>
      <c r="F22" s="52" t="s">
        <v>44</v>
      </c>
      <c r="G22" s="52"/>
      <c r="H22" s="53"/>
      <c r="I22" s="54" t="s">
        <v>45</v>
      </c>
      <c r="J22" s="55"/>
      <c r="K22" s="12"/>
    </row>
    <row r="23" customFormat="false" ht="169.5" hidden="false" customHeight="true" outlineLevel="0" collapsed="false">
      <c r="A23" s="11"/>
      <c r="B23" s="56" t="s">
        <v>46</v>
      </c>
      <c r="C23" s="56"/>
      <c r="D23" s="56"/>
      <c r="E23" s="11"/>
      <c r="F23" s="52" t="s">
        <v>44</v>
      </c>
      <c r="G23" s="52"/>
      <c r="H23" s="53"/>
      <c r="I23" s="54" t="s">
        <v>47</v>
      </c>
      <c r="J23" s="57"/>
      <c r="K23" s="12"/>
    </row>
    <row r="24" customFormat="false" ht="169.5" hidden="false" customHeight="true" outlineLevel="0" collapsed="false">
      <c r="A24" s="11"/>
      <c r="B24" s="56" t="s">
        <v>48</v>
      </c>
      <c r="C24" s="56"/>
      <c r="D24" s="56"/>
      <c r="E24" s="11"/>
      <c r="F24" s="52" t="s">
        <v>44</v>
      </c>
      <c r="G24" s="52"/>
      <c r="H24" s="53"/>
      <c r="I24" s="54" t="s">
        <v>49</v>
      </c>
      <c r="J24" s="57"/>
      <c r="K24" s="12"/>
    </row>
    <row r="25" customFormat="false" ht="173.25" hidden="false" customHeight="true" outlineLevel="0" collapsed="false">
      <c r="A25" s="11"/>
      <c r="B25" s="51" t="s">
        <v>50</v>
      </c>
      <c r="C25" s="51"/>
      <c r="D25" s="51"/>
      <c r="E25" s="11"/>
      <c r="F25" s="52" t="s">
        <v>44</v>
      </c>
      <c r="G25" s="52"/>
      <c r="H25" s="53"/>
      <c r="I25" s="54" t="s">
        <v>51</v>
      </c>
      <c r="J25" s="58"/>
      <c r="K25" s="12"/>
    </row>
    <row r="26" customFormat="false" ht="14.25" hidden="false" customHeight="true" outlineLevel="0" collapsed="false">
      <c r="A26" s="11"/>
      <c r="B26" s="59"/>
      <c r="C26" s="59"/>
      <c r="D26" s="59"/>
      <c r="E26" s="11"/>
      <c r="F26" s="11"/>
      <c r="G26" s="11"/>
      <c r="H26" s="11"/>
      <c r="I26" s="11"/>
      <c r="J26" s="11"/>
      <c r="K26" s="12"/>
    </row>
    <row r="28" customFormat="false" ht="30.75" hidden="false" customHeight="true" outlineLevel="0" collapsed="false">
      <c r="A28" s="11"/>
      <c r="B28" s="60" t="s">
        <v>52</v>
      </c>
      <c r="C28" s="60"/>
      <c r="D28" s="60"/>
      <c r="E28" s="11"/>
      <c r="F28" s="11"/>
      <c r="G28" s="59"/>
      <c r="H28" s="59"/>
      <c r="I28" s="59"/>
      <c r="J28" s="59"/>
      <c r="K28" s="12"/>
    </row>
    <row r="29" customFormat="false" ht="17.25" hidden="false" customHeight="true" outlineLevel="0" collapsed="false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2"/>
    </row>
    <row r="30" customFormat="false" ht="19.5" hidden="false" customHeight="true" outlineLevel="0" collapsed="false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12"/>
    </row>
    <row r="31" customFormat="false" ht="12" hidden="false" customHeight="true" outlineLevel="0" collapsed="false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12"/>
    </row>
    <row r="32" customFormat="false" ht="30.75" hidden="false" customHeight="true" outlineLevel="0" collapsed="false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12"/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34.5" hidden="false" customHeight="true" outlineLevel="0" collapsed="false">
      <c r="A38" s="66"/>
      <c r="B38" s="66"/>
    </row>
    <row r="39" customFormat="false" ht="36.75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33" hidden="false" customHeight="true" outlineLevel="0" collapsed="false">
      <c r="K43" s="67"/>
    </row>
    <row r="1048574" customFormat="false" ht="14.35" hidden="false" customHeight="false" outlineLevel="0" collapsed="false"/>
    <row r="1048575" customFormat="false" ht="14.35" hidden="false" customHeight="false" outlineLevel="0" collapsed="false"/>
    <row r="1048576" customFormat="false" ht="14.35" hidden="false" customHeight="false" outlineLevel="0" collapsed="false"/>
  </sheetData>
  <mergeCells count="30">
    <mergeCell ref="A2:J2"/>
    <mergeCell ref="A4:J4"/>
    <mergeCell ref="A5:J5"/>
    <mergeCell ref="A7:B9"/>
    <mergeCell ref="C7:D7"/>
    <mergeCell ref="E7:J7"/>
    <mergeCell ref="C8:D8"/>
    <mergeCell ref="E8:J8"/>
    <mergeCell ref="C9:D9"/>
    <mergeCell ref="E9:J9"/>
    <mergeCell ref="A10:B12"/>
    <mergeCell ref="C11:J11"/>
    <mergeCell ref="C12:J12"/>
    <mergeCell ref="A13:B16"/>
    <mergeCell ref="C16:E16"/>
    <mergeCell ref="A17:J17"/>
    <mergeCell ref="A19:J19"/>
    <mergeCell ref="B22:D22"/>
    <mergeCell ref="F22:G22"/>
    <mergeCell ref="B23:D23"/>
    <mergeCell ref="F23:G23"/>
    <mergeCell ref="B24:D24"/>
    <mergeCell ref="F24:G24"/>
    <mergeCell ref="B25:D25"/>
    <mergeCell ref="F25:G25"/>
    <mergeCell ref="B26:D26"/>
    <mergeCell ref="G28:J28"/>
    <mergeCell ref="A30:J30"/>
    <mergeCell ref="A31:J31"/>
    <mergeCell ref="A38:B38"/>
  </mergeCells>
  <dataValidations count="2">
    <dataValidation allowBlank="true" errorStyle="stop" operator="between" showDropDown="false" showErrorMessage="true" showInputMessage="true" sqref="E9:J9" type="list">
      <formula1>$O$2:$O$15</formula1>
      <formula2>0</formula2>
    </dataValidation>
    <dataValidation allowBlank="false" error="Введите число максимум с двумя знаками после запятой" errorStyle="stop" errorTitle="Цена введена некорректно" operator="between" showDropDown="false" showErrorMessage="true" showInputMessage="true" sqref="G14:H15" type="decimal">
      <formula1>0</formula1>
      <formula2>9.99999999999999E+056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512</TotalTime>
  <Application>LibreOffice/24.8.4.1$Linux_X86_64 LibreOffice_project/480$Build-1</Application>
  <AppVersion>15.0000</AppVersion>
  <Company>Kraftway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2017-01-20T08:22:37Z</dcterms:created>
  <dc:creator>Потураева Людмила Алексеевна</dc:creator>
  <dc:description/>
  <dc:language>ru-RU</dc:language>
  <cp:lastModifiedBy/>
  <cp:lastPrinted>2025-01-24T14:29:22Z</cp:lastPrinted>
  <dcterms:modified xsi:type="dcterms:W3CDTF">2025-10-21T10:19:52Z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0x010100A4F92DFB2D7AE34AB5ED969045F7C917</vt:lpwstr>
  </property>
  <property fmtid="{D5CDD505-2E9C-101B-9397-08002B2CF9AE}" pid="3" name="_dlc_DocIdItemGuid">
    <vt:lpwstr>8aa87759-7131-4f16-94c5-4c0dcf1b6b16</vt:lpwstr>
  </property>
</Properties>
</file>