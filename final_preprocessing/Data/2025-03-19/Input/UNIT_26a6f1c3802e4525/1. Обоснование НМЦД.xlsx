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Для подписания" sheetId="1" r:id="rId1"/>
  </sheets>
  <definedNames>
    <definedName name="_xlnm.Print_Area" localSheetId="0">'Для подписания'!$A$1:$H$48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1" l="1"/>
  <c r="G13" i="1"/>
  <c r="G30" i="1" s="1"/>
  <c r="G32" i="1" s="1"/>
  <c r="G34" i="1" s="1"/>
  <c r="J6" i="1"/>
  <c r="G35" i="1" l="1"/>
  <c r="G36" i="1" s="1"/>
</calcChain>
</file>

<file path=xl/sharedStrings.xml><?xml version="1.0" encoding="utf-8"?>
<sst xmlns="http://schemas.openxmlformats.org/spreadsheetml/2006/main" count="69" uniqueCount="64">
  <si>
    <t xml:space="preserve">конкурс </t>
  </si>
  <si>
    <t>Обоснование начальной (максимальной) цены договора затратным методом</t>
  </si>
  <si>
    <t>открытый конкурс</t>
  </si>
  <si>
    <t>конкурс в электронной форме</t>
  </si>
  <si>
    <t>Поддержание эксплуатационной готовности средств РТОП и АС для нужд ФГУП «Госкорпорация по ОрВД» (Выполнение работ по настройке, наземной проверке и замене ВЧ кабелей радиомаяка GP 2700 зав. № GP-007.15 изделия ILS 2700 зав. № ILS-012.15)</t>
  </si>
  <si>
    <t>закрытый конкурс</t>
  </si>
  <si>
    <t>(предмет договора)</t>
  </si>
  <si>
    <t>не больше 1000</t>
  </si>
  <si>
    <t>аукцион в электронной форме</t>
  </si>
  <si>
    <t>Основные характеристики предмета закупки:</t>
  </si>
  <si>
    <t>Описание предмета закупки:</t>
  </si>
  <si>
    <r>
      <rPr>
        <sz val="13"/>
        <color rgb="FF111111"/>
        <rFont val="Times New Roman"/>
        <family val="1"/>
        <charset val="1"/>
      </rPr>
      <t>Выполнение работ по настройке, наземной проверке и замене ВЧ кабелей радиомаяка GP 2700 зав. № GP-007.15 изделия ILS 2700 зав. № ILS-012.15.                  Права на выполнение работ должны быть подтверждены соответствующими лицензиями на осуществление разработки, производства, испытания и ремонта авиационной техники.
Срок выполнения работ 30 (тридцать) рабочих дней с даты подписания Договора.
Место подписания</t>
    </r>
    <r>
      <rPr>
        <sz val="13"/>
        <color rgb="FF000000"/>
        <rFont val="Times New Roman"/>
        <family val="1"/>
        <charset val="1"/>
      </rPr>
      <t xml:space="preserve"> исполнительных документов:  344009, г. Ростов-на-Дону,
пр -т.  Шолохова,  д. 302.</t>
    </r>
  </si>
  <si>
    <t>Планируемый срок исполнения договора (месяц, год)</t>
  </si>
  <si>
    <t>закрытый аукцион</t>
  </si>
  <si>
    <t>Способ определения поставщика (исполнителя, подрядчика):</t>
  </si>
  <si>
    <t>закупка у единственного поставщика (исполнителя, подрядчика)</t>
  </si>
  <si>
    <t>запрос котировок</t>
  </si>
  <si>
    <t>Используемый метод определения НМЦД с обоснованием:</t>
  </si>
  <si>
    <t>Затратный метод</t>
  </si>
  <si>
    <t>запрос котировок в электронной форме</t>
  </si>
  <si>
    <t xml:space="preserve">Затратный метод применяется в случае невозможности применения иных методов или в дополнение к иным методам, заключается в определении НМЦД как суммы произведенных затрат и обычной для определенной сферы деятельности прибыли.
</t>
  </si>
  <si>
    <t>закрытый запрос котировок</t>
  </si>
  <si>
    <r>
      <rPr>
        <sz val="13"/>
        <color rgb="FF000000"/>
        <rFont val="Times New Roman"/>
        <family val="1"/>
        <charset val="1"/>
      </rPr>
      <t xml:space="preserve">Расчет начальной (максимальной) цены договора </t>
    </r>
    <r>
      <rPr>
        <sz val="13"/>
        <color rgb="FF111111"/>
        <rFont val="Times New Roman"/>
        <family val="1"/>
        <charset val="1"/>
      </rPr>
      <t>(</t>
    </r>
    <r>
      <rPr>
        <sz val="13"/>
        <color rgb="FF000000"/>
        <rFont val="Times New Roman"/>
        <family val="1"/>
        <charset val="1"/>
      </rPr>
      <t>Выполнение работ по настройке, наземной проверке и замене ВЧ  кабелей радиомаяка GP 2700 зав. № GP-007.15 изделия ILS 2700  зав. № ILS-012.15</t>
    </r>
    <r>
      <rPr>
        <sz val="13"/>
        <color rgb="FF111111"/>
        <rFont val="Times New Roman"/>
        <family val="1"/>
        <charset val="1"/>
      </rPr>
      <t>)</t>
    </r>
  </si>
  <si>
    <t>№ п/п</t>
  </si>
  <si>
    <t>Наименование статей затрат</t>
  </si>
  <si>
    <t>Расчет НМЦД</t>
  </si>
  <si>
    <t>Затраты на материалы и покупные изделия - всего, в том числе:</t>
  </si>
  <si>
    <t xml:space="preserve">Сырье и материалы </t>
  </si>
  <si>
    <t>Покупные полуфабрикаты и комплектующие изделия</t>
  </si>
  <si>
    <t>Возвратные отходы (вычитаются)</t>
  </si>
  <si>
    <t>Работы и услуги сторонних организаций производственного характера (контрагенты)</t>
  </si>
  <si>
    <t>Транспортно-заготовительные расходы - всего:</t>
  </si>
  <si>
    <t>на сырье и материалы</t>
  </si>
  <si>
    <t>на ПКИ</t>
  </si>
  <si>
    <t>Затраты на оплату труда  всего: в том числе</t>
  </si>
  <si>
    <t>Основная заработная плата</t>
  </si>
  <si>
    <t>Дополнительная заработная плата</t>
  </si>
  <si>
    <t>Страховые взносы</t>
  </si>
  <si>
    <t>Затраты на специальную технологическую оснастку</t>
  </si>
  <si>
    <t xml:space="preserve">Специальные затраты </t>
  </si>
  <si>
    <t>Общепроизводственные затраты (командировочные расходы)</t>
  </si>
  <si>
    <t>Накладные расходы</t>
  </si>
  <si>
    <t xml:space="preserve">Прочие производственные затраты </t>
  </si>
  <si>
    <t>Производственная себестоимость</t>
  </si>
  <si>
    <t>Внепроизводственные (коммерческие) затраты (услуги ВП МО РФ, услуги ген. подрядчика, доставка оборудования, страхование груза)</t>
  </si>
  <si>
    <t>Полная себестоимость</t>
  </si>
  <si>
    <t>Прибыль</t>
  </si>
  <si>
    <t>Цена без НДС</t>
  </si>
  <si>
    <t>НДС</t>
  </si>
  <si>
    <t>НМЦД с НДС</t>
  </si>
  <si>
    <t>Дата подготовки обоснования НМЦД: "13" октября 2025 г.</t>
  </si>
  <si>
    <t>Начальная (максимальная) цена договора установлена в размере 507 470 (Пятьсот семь тысяч четыреста семьдесят) рублей 51 копейка, включая все налоги и обязательные платежи.</t>
  </si>
  <si>
    <t>Директор филиала</t>
  </si>
  <si>
    <t>____________________
подпись</t>
  </si>
  <si>
    <t>Ю.П. Токарев</t>
  </si>
  <si>
    <t>Заместитель директора филиала</t>
  </si>
  <si>
    <t>С.В. Исаев</t>
  </si>
  <si>
    <t>И.о. заместителя директора филиала по безопасности</t>
  </si>
  <si>
    <t>К.В. Лайко</t>
  </si>
  <si>
    <t>Заместитель директора филиала  по ЭРТОС</t>
  </si>
  <si>
    <t>А.Н. Семендяев</t>
  </si>
  <si>
    <t>Бондаренко И.А.
(863) 272-39-49</t>
  </si>
  <si>
    <t xml:space="preserve"> </t>
  </si>
  <si>
    <t>13 октября 2025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</si>
</sst>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mmmm\ yyyy;@"/>
  </numFmts>
  <fonts count="18" x14ac:knownFonts="1"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sz val="13"/>
      <color theme="1"/>
      <name val="Times New Roman"/>
      <family val="1"/>
      <charset val="204"/>
    </font>
    <font>
      <sz val="13"/>
      <color theme="0" tint="-0.34998626667073579"/>
      <name val="Times New Roman"/>
      <family val="1"/>
      <charset val="204"/>
    </font>
    <font>
      <sz val="13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111111"/>
      <name val="Times New Roman"/>
      <family val="1"/>
      <charset val="1"/>
    </font>
    <font>
      <vertAlign val="superscript"/>
      <sz val="13"/>
      <color theme="1"/>
      <name val="Times New Roman"/>
      <family val="1"/>
      <charset val="204"/>
    </font>
    <font>
      <sz val="13"/>
      <color rgb="FF000000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3"/>
      <name val="Times New Roman"/>
      <family val="1"/>
      <charset val="1"/>
    </font>
    <font>
      <b/>
      <sz val="13"/>
      <color theme="1"/>
      <name val="Times New Roman"/>
      <family val="1"/>
      <charset val="204"/>
    </font>
    <font>
      <i/>
      <sz val="13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1"/>
    </font>
    <font>
      <i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9" fillId="2" borderId="13" xfId="0" applyFont="1" applyFill="1" applyBorder="1" applyAlignment="1" applyProtection="1">
      <alignment horizontal="center" vertical="center" wrapText="1"/>
    </xf>
    <xf numFmtId="0" fontId="11" fillId="2" borderId="12" xfId="0" applyFont="1" applyFill="1" applyBorder="1" applyAlignment="1" applyProtection="1">
      <alignment horizontal="left" vertical="top" wrapText="1"/>
    </xf>
    <xf numFmtId="0" fontId="10" fillId="2" borderId="11" xfId="0" applyFont="1" applyFill="1" applyBorder="1" applyAlignment="1" applyProtection="1">
      <alignment horizontal="left" vertical="center" wrapText="1"/>
    </xf>
    <xf numFmtId="0" fontId="9" fillId="2" borderId="10" xfId="0" applyFont="1" applyFill="1" applyBorder="1" applyAlignment="1" applyProtection="1">
      <alignment horizontal="left" vertical="center" wrapText="1"/>
    </xf>
    <xf numFmtId="0" fontId="9" fillId="2" borderId="9" xfId="0" applyFont="1" applyFill="1" applyBorder="1" applyAlignment="1" applyProtection="1">
      <alignment horizontal="left" vertical="center"/>
    </xf>
    <xf numFmtId="0" fontId="9" fillId="2" borderId="8" xfId="0" applyFont="1" applyFill="1" applyBorder="1" applyAlignment="1" applyProtection="1">
      <alignment horizontal="left" vertical="center" wrapText="1"/>
    </xf>
    <xf numFmtId="164" fontId="7" fillId="2" borderId="7" xfId="0" applyNumberFormat="1" applyFont="1" applyFill="1" applyBorder="1" applyAlignment="1" applyProtection="1">
      <alignment horizontal="left" vertical="center" wrapText="1"/>
    </xf>
    <xf numFmtId="0" fontId="9" fillId="2" borderId="6" xfId="0" applyFont="1" applyFill="1" applyBorder="1" applyAlignment="1" applyProtection="1">
      <alignment horizontal="left" vertical="center" wrapText="1"/>
    </xf>
    <xf numFmtId="0" fontId="7" fillId="2" borderId="5" xfId="0" applyFont="1" applyFill="1" applyBorder="1" applyAlignment="1" applyProtection="1">
      <alignment horizontal="left" vertical="top" wrapText="1"/>
    </xf>
    <xf numFmtId="0" fontId="9" fillId="2" borderId="4" xfId="0" applyFont="1" applyFill="1" applyBorder="1" applyAlignment="1" applyProtection="1">
      <alignment horizontal="left" vertical="center" wrapText="1"/>
    </xf>
    <xf numFmtId="0" fontId="9" fillId="2" borderId="3" xfId="0" applyFont="1" applyFill="1" applyBorder="1" applyAlignment="1" applyProtection="1">
      <alignment horizontal="justify" vertical="center" wrapText="1"/>
    </xf>
    <xf numFmtId="0" fontId="8" fillId="2" borderId="2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vertical="center" wrapText="1"/>
    </xf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/>
    <xf numFmtId="0" fontId="6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 applyProtection="1"/>
    <xf numFmtId="0" fontId="12" fillId="2" borderId="0" xfId="0" applyFont="1" applyFill="1" applyBorder="1" applyAlignment="1" applyProtection="1">
      <alignment vertical="center"/>
    </xf>
    <xf numFmtId="0" fontId="3" fillId="2" borderId="0" xfId="0" applyFont="1" applyFill="1" applyAlignment="1" applyProtection="1"/>
    <xf numFmtId="0" fontId="11" fillId="2" borderId="14" xfId="1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9" fillId="2" borderId="17" xfId="0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vertical="top"/>
    </xf>
    <xf numFmtId="0" fontId="2" fillId="2" borderId="0" xfId="0" applyFont="1" applyFill="1" applyAlignment="1" applyProtection="1">
      <alignment horizontal="center"/>
    </xf>
    <xf numFmtId="0" fontId="13" fillId="2" borderId="0" xfId="0" applyFont="1" applyFill="1" applyAlignment="1" applyProtection="1">
      <alignment vertical="center"/>
    </xf>
    <xf numFmtId="0" fontId="14" fillId="2" borderId="0" xfId="0" applyFont="1" applyFill="1" applyAlignment="1" applyProtection="1"/>
    <xf numFmtId="0" fontId="15" fillId="2" borderId="0" xfId="0" applyFont="1" applyFill="1" applyAlignment="1" applyProtection="1"/>
    <xf numFmtId="0" fontId="14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5" fillId="2" borderId="0" xfId="0" applyFont="1" applyFill="1" applyAlignment="1" applyProtection="1">
      <alignment horizontal="left"/>
    </xf>
    <xf numFmtId="0" fontId="9" fillId="2" borderId="18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10" fillId="2" borderId="0" xfId="0" applyFont="1" applyFill="1" applyBorder="1" applyAlignment="1" applyProtection="1">
      <alignment horizontal="right" vertical="center"/>
    </xf>
    <xf numFmtId="2" fontId="10" fillId="2" borderId="0" xfId="0" applyNumberFormat="1" applyFont="1" applyFill="1" applyBorder="1" applyAlignment="1" applyProtection="1">
      <alignment horizontal="center" vertical="center"/>
    </xf>
    <xf numFmtId="0" fontId="10" fillId="2" borderId="0" xfId="0" applyFont="1" applyFill="1" applyAlignment="1" applyProtection="1"/>
    <xf numFmtId="0" fontId="11" fillId="2" borderId="0" xfId="0" applyFont="1" applyFill="1" applyBorder="1" applyAlignment="1" applyProtection="1">
      <alignment horizontal="left" vertical="center"/>
    </xf>
    <xf numFmtId="0" fontId="10" fillId="2" borderId="0" xfId="0" applyFont="1" applyFill="1" applyAlignment="1" applyProtection="1">
      <alignment horizontal="center"/>
    </xf>
    <xf numFmtId="0" fontId="3" fillId="0" borderId="0" xfId="0" applyFont="1" applyBorder="1" applyAlignment="1" applyProtection="1">
      <alignment vertical="center"/>
    </xf>
    <xf numFmtId="0" fontId="11" fillId="2" borderId="0" xfId="0" applyFont="1" applyFill="1" applyAlignment="1" applyProtection="1">
      <alignment horizontal="center" vertical="center"/>
    </xf>
    <xf numFmtId="0" fontId="11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 wrapText="1"/>
    </xf>
    <xf numFmtId="0" fontId="17" fillId="2" borderId="0" xfId="0" applyFont="1" applyFill="1" applyAlignment="1" applyProtection="1">
      <alignment horizontal="center" vertical="center"/>
    </xf>
    <xf numFmtId="0" fontId="10" fillId="0" borderId="0" xfId="0" applyFont="1" applyAlignment="1" applyProtection="1"/>
    <xf numFmtId="0" fontId="10" fillId="2" borderId="15" xfId="0" applyFont="1" applyFill="1" applyBorder="1" applyAlignment="1" applyProtection="1">
      <alignment horizontal="center" vertical="center" wrapText="1"/>
    </xf>
    <xf numFmtId="0" fontId="10" fillId="2" borderId="16" xfId="0" applyFont="1" applyFill="1" applyBorder="1" applyAlignment="1" applyProtection="1">
      <alignment horizontal="center" vertical="center" wrapText="1"/>
    </xf>
    <xf numFmtId="0" fontId="10" fillId="2" borderId="6" xfId="0" applyFont="1" applyFill="1" applyBorder="1" applyAlignment="1" applyProtection="1">
      <alignment horizontal="left" vertical="center" wrapText="1"/>
    </xf>
    <xf numFmtId="4" fontId="10" fillId="2" borderId="7" xfId="0" applyNumberFormat="1" applyFont="1" applyFill="1" applyBorder="1" applyAlignment="1" applyProtection="1">
      <alignment horizontal="center" vertical="center"/>
    </xf>
    <xf numFmtId="0" fontId="11" fillId="2" borderId="6" xfId="0" applyFont="1" applyFill="1" applyBorder="1" applyAlignment="1" applyProtection="1">
      <alignment horizontal="left" vertical="center" wrapText="1"/>
    </xf>
    <xf numFmtId="0" fontId="10" fillId="2" borderId="8" xfId="0" applyFont="1" applyFill="1" applyBorder="1" applyAlignment="1" applyProtection="1">
      <alignment horizontal="left" vertical="center" wrapText="1"/>
    </xf>
    <xf numFmtId="4" fontId="10" fillId="2" borderId="9" xfId="0" applyNumberFormat="1" applyFont="1" applyFill="1" applyBorder="1" applyAlignment="1" applyProtection="1">
      <alignment horizontal="center" vertical="center"/>
    </xf>
    <xf numFmtId="0" fontId="16" fillId="2" borderId="19" xfId="0" applyFont="1" applyFill="1" applyBorder="1" applyAlignment="1" applyProtection="1">
      <alignment horizontal="center" vertical="center" wrapText="1"/>
    </xf>
    <xf numFmtId="0" fontId="16" fillId="2" borderId="0" xfId="0" applyFont="1" applyFill="1" applyBorder="1" applyAlignment="1" applyProtection="1">
      <alignment horizontal="center" vertical="center" wrapText="1"/>
    </xf>
    <xf numFmtId="0" fontId="11" fillId="2" borderId="0" xfId="0" applyFont="1" applyFill="1" applyBorder="1" applyAlignment="1" applyProtection="1">
      <alignment horizontal="left" vertical="center" wrapText="1"/>
    </xf>
    <xf numFmtId="0" fontId="11" fillId="2" borderId="0" xfId="0" applyFont="1" applyFill="1" applyBorder="1" applyAlignment="1" applyProtection="1">
      <alignment horizontal="center" wrapText="1"/>
    </xf>
    <xf numFmtId="0" fontId="17" fillId="2" borderId="0" xfId="0" applyFont="1" applyFill="1" applyBorder="1" applyAlignment="1" applyProtection="1">
      <alignment horizontal="center" vertical="center"/>
    </xf>
    <xf numFmtId="0" fontId="11" fillId="2" borderId="0" xfId="0" applyFont="1" applyFill="1" applyBorder="1" applyAlignment="1" applyProtection="1">
      <alignment horizontal="center" vertical="center" wrapText="1"/>
    </xf>
    <xf numFmtId="0" fontId="10" fillId="2" borderId="0" xfId="0" applyFont="1" applyFill="1" applyBorder="1" applyAlignment="1" applyProtection="1">
      <alignment horizontal="center"/>
    </xf>
    <xf numFmtId="0" fontId="7" fillId="2" borderId="0" xfId="0" applyFont="1" applyFill="1" applyBorder="1" applyAlignment="1" applyProtection="1">
      <alignment horizontal="left" vertical="center" wrapText="1"/>
    </xf>
  </cellXfs>
  <cellStyles count="2">
    <cellStyle name="Обычный" xfId="0" builtinId="0"/>
    <cellStyle name="Обычный_АП МАГАС согласованный (1)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8"/>
  <sheetViews>
    <sheetView tabSelected="1" view="pageBreakPreview" topLeftCell="A19" zoomScale="80" zoomScaleNormal="100" zoomScalePageLayoutView="80" workbookViewId="0">
      <selection activeCell="G36" sqref="G36:H36"/>
    </sheetView>
  </sheetViews>
  <sheetFormatPr defaultColWidth="9.28515625" defaultRowHeight="16.5" x14ac:dyDescent="0.25"/>
  <cols>
    <col min="1" max="1" width="5.42578125" style="15" customWidth="1"/>
    <col min="2" max="2" width="16.42578125" style="15" customWidth="1"/>
    <col min="3" max="4" width="15.28515625" style="15" customWidth="1"/>
    <col min="5" max="5" width="23.42578125" style="15" customWidth="1"/>
    <col min="6" max="6" width="22" style="15" customWidth="1"/>
    <col min="7" max="7" width="23.28515625" style="15" customWidth="1"/>
    <col min="8" max="8" width="22.42578125" style="15" customWidth="1"/>
    <col min="9" max="9" width="9.28515625" style="15"/>
    <col min="10" max="10" width="9.28515625" style="16"/>
    <col min="11" max="11" width="8" style="15" customWidth="1"/>
    <col min="12" max="12" width="3" style="16" customWidth="1"/>
    <col min="13" max="13" width="9.28515625" style="16"/>
    <col min="14" max="16384" width="9.28515625" style="15"/>
  </cols>
  <sheetData>
    <row r="1" spans="1:20" ht="12" customHeight="1" x14ac:dyDescent="0.25">
      <c r="D1" s="17"/>
      <c r="E1" s="17"/>
      <c r="F1" s="17"/>
      <c r="G1" s="17"/>
      <c r="H1" s="17"/>
      <c r="M1" s="16" t="s">
        <v>0</v>
      </c>
    </row>
    <row r="2" spans="1:20" ht="16.5" customHeight="1" x14ac:dyDescent="0.25">
      <c r="A2" s="14" t="s">
        <v>1</v>
      </c>
      <c r="B2" s="14"/>
      <c r="C2" s="14"/>
      <c r="D2" s="14"/>
      <c r="E2" s="14"/>
      <c r="F2" s="14"/>
      <c r="G2" s="14"/>
      <c r="H2" s="14"/>
      <c r="M2" s="16" t="s">
        <v>2</v>
      </c>
    </row>
    <row r="3" spans="1:20" ht="7.5" customHeight="1" x14ac:dyDescent="0.25">
      <c r="A3" s="18"/>
      <c r="B3" s="18"/>
      <c r="C3" s="18"/>
      <c r="D3" s="18"/>
      <c r="E3" s="18"/>
      <c r="F3" s="18"/>
      <c r="G3" s="18"/>
      <c r="H3" s="19"/>
      <c r="M3" s="16" t="s">
        <v>3</v>
      </c>
    </row>
    <row r="4" spans="1:20" ht="51.4" customHeight="1" x14ac:dyDescent="0.25">
      <c r="A4" s="13" t="s">
        <v>4</v>
      </c>
      <c r="B4" s="13"/>
      <c r="C4" s="13"/>
      <c r="D4" s="13"/>
      <c r="E4" s="13"/>
      <c r="F4" s="13"/>
      <c r="G4" s="13"/>
      <c r="H4" s="13"/>
      <c r="M4" s="16" t="s">
        <v>5</v>
      </c>
    </row>
    <row r="5" spans="1:20" ht="12.6" customHeight="1" x14ac:dyDescent="0.25">
      <c r="A5" s="12" t="s">
        <v>6</v>
      </c>
      <c r="B5" s="12"/>
      <c r="C5" s="12"/>
      <c r="D5" s="12"/>
      <c r="E5" s="12"/>
      <c r="F5" s="12"/>
      <c r="G5" s="12"/>
      <c r="H5" s="12"/>
      <c r="J5" s="16" t="s">
        <v>7</v>
      </c>
      <c r="M5" s="16" t="s">
        <v>8</v>
      </c>
    </row>
    <row r="6" spans="1:20" ht="126.95" customHeight="1" x14ac:dyDescent="0.25">
      <c r="A6" s="11" t="s">
        <v>9</v>
      </c>
      <c r="B6" s="11"/>
      <c r="C6" s="10" t="s">
        <v>10</v>
      </c>
      <c r="D6" s="10"/>
      <c r="E6" s="9" t="s">
        <v>11</v>
      </c>
      <c r="F6" s="9"/>
      <c r="G6" s="9"/>
      <c r="H6" s="9"/>
      <c r="J6" s="16">
        <f>LEN(E6)</f>
        <v>496</v>
      </c>
      <c r="M6" s="16" t="s">
        <v>8</v>
      </c>
    </row>
    <row r="7" spans="1:20" ht="49.5" customHeight="1" x14ac:dyDescent="0.25">
      <c r="A7" s="11"/>
      <c r="B7" s="11"/>
      <c r="C7" s="8" t="s">
        <v>12</v>
      </c>
      <c r="D7" s="8"/>
      <c r="E7" s="7">
        <v>46054</v>
      </c>
      <c r="F7" s="7"/>
      <c r="G7" s="7"/>
      <c r="H7" s="7"/>
      <c r="M7" s="16" t="s">
        <v>13</v>
      </c>
    </row>
    <row r="8" spans="1:20" ht="57.75" customHeight="1" x14ac:dyDescent="0.25">
      <c r="A8" s="11"/>
      <c r="B8" s="11"/>
      <c r="C8" s="6" t="s">
        <v>14</v>
      </c>
      <c r="D8" s="6"/>
      <c r="E8" s="5" t="s">
        <v>15</v>
      </c>
      <c r="F8" s="5"/>
      <c r="G8" s="5"/>
      <c r="H8" s="5"/>
      <c r="M8" s="16" t="s">
        <v>16</v>
      </c>
    </row>
    <row r="9" spans="1:20" ht="20.25" customHeight="1" x14ac:dyDescent="0.25">
      <c r="A9" s="4" t="s">
        <v>17</v>
      </c>
      <c r="B9" s="4"/>
      <c r="C9" s="3" t="s">
        <v>18</v>
      </c>
      <c r="D9" s="3"/>
      <c r="E9" s="3"/>
      <c r="F9" s="3"/>
      <c r="G9" s="3"/>
      <c r="H9" s="3"/>
      <c r="M9" s="16" t="s">
        <v>19</v>
      </c>
    </row>
    <row r="10" spans="1:20" ht="60.6" customHeight="1" x14ac:dyDescent="0.25">
      <c r="A10" s="4"/>
      <c r="B10" s="4"/>
      <c r="C10" s="2" t="s">
        <v>20</v>
      </c>
      <c r="D10" s="2"/>
      <c r="E10" s="2"/>
      <c r="F10" s="2"/>
      <c r="G10" s="2"/>
      <c r="H10" s="2"/>
      <c r="M10" s="16" t="s">
        <v>21</v>
      </c>
    </row>
    <row r="11" spans="1:20" ht="34.5" customHeight="1" x14ac:dyDescent="0.25">
      <c r="A11" s="1" t="s">
        <v>22</v>
      </c>
      <c r="B11" s="1"/>
      <c r="C11" s="1"/>
      <c r="D11" s="1"/>
      <c r="E11" s="1"/>
      <c r="F11" s="1"/>
      <c r="G11" s="1"/>
      <c r="H11" s="1"/>
      <c r="I11" s="20"/>
      <c r="J11" s="21"/>
      <c r="L11" s="15"/>
    </row>
    <row r="12" spans="1:20" ht="33.75" customHeight="1" x14ac:dyDescent="0.25">
      <c r="A12" s="22" t="s">
        <v>23</v>
      </c>
      <c r="B12" s="46" t="s">
        <v>24</v>
      </c>
      <c r="C12" s="46"/>
      <c r="D12" s="46"/>
      <c r="E12" s="46"/>
      <c r="F12" s="46"/>
      <c r="G12" s="47" t="s">
        <v>25</v>
      </c>
      <c r="H12" s="47"/>
      <c r="I12" s="23"/>
      <c r="J12" s="21"/>
      <c r="L12" s="15"/>
    </row>
    <row r="13" spans="1:20" ht="32.25" customHeight="1" x14ac:dyDescent="0.25">
      <c r="A13" s="24">
        <v>1</v>
      </c>
      <c r="B13" s="48" t="s">
        <v>26</v>
      </c>
      <c r="C13" s="48"/>
      <c r="D13" s="48"/>
      <c r="E13" s="48"/>
      <c r="F13" s="48"/>
      <c r="G13" s="49">
        <f>G14+G15+G17+G18-G16</f>
        <v>0</v>
      </c>
      <c r="H13" s="49"/>
      <c r="I13" s="20"/>
      <c r="J13" s="21"/>
      <c r="L13" s="15"/>
    </row>
    <row r="14" spans="1:20" ht="23.25" customHeight="1" x14ac:dyDescent="0.25">
      <c r="A14" s="24"/>
      <c r="B14" s="48" t="s">
        <v>27</v>
      </c>
      <c r="C14" s="48"/>
      <c r="D14" s="48"/>
      <c r="E14" s="48"/>
      <c r="F14" s="48"/>
      <c r="G14" s="49">
        <v>0</v>
      </c>
      <c r="H14" s="49"/>
      <c r="I14" s="19"/>
      <c r="J14" s="21"/>
      <c r="L14" s="15"/>
    </row>
    <row r="15" spans="1:20" ht="19.5" customHeight="1" x14ac:dyDescent="0.25">
      <c r="A15" s="24"/>
      <c r="B15" s="48" t="s">
        <v>28</v>
      </c>
      <c r="C15" s="48"/>
      <c r="D15" s="48"/>
      <c r="E15" s="48"/>
      <c r="F15" s="48"/>
      <c r="G15" s="49">
        <v>0</v>
      </c>
      <c r="H15" s="49"/>
      <c r="J15" s="15"/>
      <c r="K15" s="21"/>
      <c r="N15" s="16"/>
      <c r="O15" s="25"/>
      <c r="P15" s="16"/>
      <c r="Q15" s="16"/>
      <c r="R15" s="16"/>
      <c r="S15" s="16"/>
      <c r="T15" s="16"/>
    </row>
    <row r="16" spans="1:20" ht="25.5" customHeight="1" x14ac:dyDescent="0.25">
      <c r="A16" s="24"/>
      <c r="B16" s="48" t="s">
        <v>29</v>
      </c>
      <c r="C16" s="48"/>
      <c r="D16" s="48"/>
      <c r="E16" s="48"/>
      <c r="F16" s="48"/>
      <c r="G16" s="49"/>
      <c r="H16" s="49"/>
      <c r="J16" s="15"/>
      <c r="K16" s="21"/>
      <c r="N16" s="16"/>
      <c r="O16" s="25"/>
      <c r="P16" s="16"/>
      <c r="Q16" s="16"/>
      <c r="R16" s="16"/>
      <c r="S16" s="16"/>
      <c r="T16" s="16"/>
    </row>
    <row r="17" spans="1:20" ht="26.25" customHeight="1" x14ac:dyDescent="0.25">
      <c r="A17" s="24"/>
      <c r="B17" s="48" t="s">
        <v>30</v>
      </c>
      <c r="C17" s="48"/>
      <c r="D17" s="48"/>
      <c r="E17" s="48"/>
      <c r="F17" s="48"/>
      <c r="G17" s="49">
        <v>0</v>
      </c>
      <c r="H17" s="49"/>
      <c r="J17" s="15"/>
      <c r="K17" s="21"/>
      <c r="N17" s="16"/>
      <c r="O17" s="25"/>
      <c r="P17" s="16"/>
      <c r="Q17" s="16"/>
      <c r="R17" s="16"/>
      <c r="S17" s="16"/>
      <c r="T17" s="16"/>
    </row>
    <row r="18" spans="1:20" ht="18.75" customHeight="1" x14ac:dyDescent="0.25">
      <c r="A18" s="24"/>
      <c r="B18" s="48" t="s">
        <v>31</v>
      </c>
      <c r="C18" s="48"/>
      <c r="D18" s="48"/>
      <c r="E18" s="48"/>
      <c r="F18" s="48"/>
      <c r="G18" s="49">
        <v>0</v>
      </c>
      <c r="H18" s="49"/>
      <c r="I18" s="19"/>
      <c r="J18" s="19"/>
      <c r="K18" s="21"/>
      <c r="N18" s="16"/>
      <c r="O18" s="25"/>
      <c r="P18" s="16"/>
      <c r="Q18" s="16"/>
      <c r="R18" s="16"/>
      <c r="S18" s="16"/>
      <c r="T18" s="16"/>
    </row>
    <row r="19" spans="1:20" ht="15.75" customHeight="1" x14ac:dyDescent="0.25">
      <c r="A19" s="24"/>
      <c r="B19" s="48" t="s">
        <v>32</v>
      </c>
      <c r="C19" s="48"/>
      <c r="D19" s="48"/>
      <c r="E19" s="48"/>
      <c r="F19" s="48"/>
      <c r="G19" s="49">
        <v>0</v>
      </c>
      <c r="H19" s="49"/>
      <c r="I19" s="26"/>
      <c r="J19" s="15"/>
      <c r="K19" s="21"/>
      <c r="N19" s="16"/>
      <c r="O19" s="25"/>
      <c r="P19" s="16"/>
      <c r="Q19" s="16"/>
      <c r="R19" s="16"/>
      <c r="S19" s="16"/>
      <c r="T19" s="16"/>
    </row>
    <row r="20" spans="1:20" ht="24.75" customHeight="1" x14ac:dyDescent="0.25">
      <c r="A20" s="24"/>
      <c r="B20" s="48" t="s">
        <v>33</v>
      </c>
      <c r="C20" s="48"/>
      <c r="D20" s="48"/>
      <c r="E20" s="48"/>
      <c r="F20" s="48"/>
      <c r="G20" s="49">
        <v>0</v>
      </c>
      <c r="H20" s="49"/>
      <c r="I20" s="27"/>
      <c r="J20" s="21"/>
      <c r="L20" s="15"/>
    </row>
    <row r="21" spans="1:20" ht="28.5" customHeight="1" x14ac:dyDescent="0.25">
      <c r="A21" s="24">
        <v>2</v>
      </c>
      <c r="B21" s="48" t="s">
        <v>34</v>
      </c>
      <c r="C21" s="48"/>
      <c r="D21" s="48"/>
      <c r="E21" s="48"/>
      <c r="F21" s="48"/>
      <c r="G21" s="49">
        <f>SUM(G22:H23)</f>
        <v>60206.400000000001</v>
      </c>
      <c r="H21" s="49"/>
      <c r="I21" s="27"/>
      <c r="J21" s="21"/>
      <c r="L21" s="15"/>
    </row>
    <row r="22" spans="1:20" ht="21.75" customHeight="1" x14ac:dyDescent="0.25">
      <c r="A22" s="24"/>
      <c r="B22" s="48" t="s">
        <v>35</v>
      </c>
      <c r="C22" s="48"/>
      <c r="D22" s="48"/>
      <c r="E22" s="48"/>
      <c r="F22" s="48"/>
      <c r="G22" s="49">
        <v>54240</v>
      </c>
      <c r="H22" s="49"/>
      <c r="I22" s="27"/>
      <c r="J22" s="21"/>
      <c r="L22" s="15"/>
    </row>
    <row r="23" spans="1:20" ht="19.5" customHeight="1" x14ac:dyDescent="0.25">
      <c r="A23" s="24"/>
      <c r="B23" s="48" t="s">
        <v>36</v>
      </c>
      <c r="C23" s="48"/>
      <c r="D23" s="48"/>
      <c r="E23" s="48"/>
      <c r="F23" s="48"/>
      <c r="G23" s="49">
        <v>5966.4</v>
      </c>
      <c r="H23" s="49"/>
      <c r="I23" s="27"/>
      <c r="J23" s="21"/>
      <c r="L23" s="15"/>
    </row>
    <row r="24" spans="1:20" ht="20.25" customHeight="1" x14ac:dyDescent="0.25">
      <c r="A24" s="24">
        <v>3</v>
      </c>
      <c r="B24" s="48" t="s">
        <v>37</v>
      </c>
      <c r="C24" s="48"/>
      <c r="D24" s="48"/>
      <c r="E24" s="48"/>
      <c r="F24" s="48"/>
      <c r="G24" s="49">
        <v>18362.95</v>
      </c>
      <c r="H24" s="49"/>
      <c r="I24" s="19"/>
      <c r="J24" s="21"/>
      <c r="L24" s="15"/>
    </row>
    <row r="25" spans="1:20" ht="18.75" customHeight="1" x14ac:dyDescent="0.25">
      <c r="A25" s="24">
        <v>4</v>
      </c>
      <c r="B25" s="48" t="s">
        <v>38</v>
      </c>
      <c r="C25" s="48"/>
      <c r="D25" s="48"/>
      <c r="E25" s="48"/>
      <c r="F25" s="48"/>
      <c r="G25" s="49"/>
      <c r="H25" s="49"/>
      <c r="I25" s="19"/>
      <c r="J25" s="21"/>
      <c r="L25" s="15"/>
    </row>
    <row r="26" spans="1:20" ht="23.25" customHeight="1" x14ac:dyDescent="0.25">
      <c r="A26" s="24">
        <v>5</v>
      </c>
      <c r="B26" s="48" t="s">
        <v>39</v>
      </c>
      <c r="C26" s="48"/>
      <c r="D26" s="48"/>
      <c r="E26" s="48"/>
      <c r="F26" s="48"/>
      <c r="G26" s="49"/>
      <c r="H26" s="49"/>
      <c r="I26" s="28"/>
      <c r="J26" s="21"/>
      <c r="L26" s="15"/>
    </row>
    <row r="27" spans="1:20" ht="33" customHeight="1" x14ac:dyDescent="0.25">
      <c r="A27" s="24">
        <v>6</v>
      </c>
      <c r="B27" s="48" t="s">
        <v>40</v>
      </c>
      <c r="C27" s="48"/>
      <c r="D27" s="48"/>
      <c r="E27" s="48"/>
      <c r="F27" s="48"/>
      <c r="G27" s="49">
        <v>126270.72</v>
      </c>
      <c r="H27" s="49"/>
      <c r="I27" s="28"/>
      <c r="J27" s="21"/>
      <c r="L27" s="15"/>
    </row>
    <row r="28" spans="1:20" ht="26.25" customHeight="1" x14ac:dyDescent="0.25">
      <c r="A28" s="24">
        <v>7</v>
      </c>
      <c r="B28" s="48" t="s">
        <v>41</v>
      </c>
      <c r="C28" s="48"/>
      <c r="D28" s="48"/>
      <c r="E28" s="48"/>
      <c r="F28" s="48"/>
      <c r="G28" s="49">
        <v>77563.199999999997</v>
      </c>
      <c r="H28" s="49"/>
      <c r="I28" s="28"/>
      <c r="J28" s="21"/>
      <c r="L28" s="15"/>
    </row>
    <row r="29" spans="1:20" ht="18" customHeight="1" x14ac:dyDescent="0.25">
      <c r="A29" s="24">
        <v>8</v>
      </c>
      <c r="B29" s="48" t="s">
        <v>42</v>
      </c>
      <c r="C29" s="48"/>
      <c r="D29" s="48"/>
      <c r="E29" s="48"/>
      <c r="F29" s="48"/>
      <c r="G29" s="49">
        <v>55910.400000000001</v>
      </c>
      <c r="H29" s="49"/>
      <c r="I29" s="29"/>
      <c r="J29" s="21"/>
      <c r="L29" s="15"/>
    </row>
    <row r="30" spans="1:20" ht="17.25" customHeight="1" x14ac:dyDescent="0.25">
      <c r="A30" s="24">
        <v>9</v>
      </c>
      <c r="B30" s="48" t="s">
        <v>43</v>
      </c>
      <c r="C30" s="48"/>
      <c r="D30" s="48"/>
      <c r="E30" s="48"/>
      <c r="F30" s="48"/>
      <c r="G30" s="49">
        <f>G13+G21+G24+G25+G26+G27+G28+G29</f>
        <v>338313.67000000004</v>
      </c>
      <c r="H30" s="49"/>
      <c r="I30" s="30"/>
      <c r="J30" s="31"/>
      <c r="L30" s="15"/>
    </row>
    <row r="31" spans="1:20" ht="32.25" customHeight="1" x14ac:dyDescent="0.25">
      <c r="A31" s="24">
        <v>10</v>
      </c>
      <c r="B31" s="50" t="s">
        <v>44</v>
      </c>
      <c r="C31" s="50"/>
      <c r="D31" s="50"/>
      <c r="E31" s="50"/>
      <c r="F31" s="50"/>
      <c r="G31" s="49">
        <v>0</v>
      </c>
      <c r="H31" s="49"/>
      <c r="I31" s="28"/>
      <c r="J31" s="21"/>
      <c r="L31" s="15"/>
    </row>
    <row r="32" spans="1:20" ht="19.5" customHeight="1" x14ac:dyDescent="0.25">
      <c r="A32" s="24">
        <v>11</v>
      </c>
      <c r="B32" s="48" t="s">
        <v>45</v>
      </c>
      <c r="C32" s="48"/>
      <c r="D32" s="48"/>
      <c r="E32" s="48"/>
      <c r="F32" s="48"/>
      <c r="G32" s="49">
        <f>G31+G30</f>
        <v>338313.67000000004</v>
      </c>
      <c r="H32" s="49"/>
      <c r="I32" s="29"/>
      <c r="J32" s="21"/>
      <c r="L32" s="15"/>
    </row>
    <row r="33" spans="1:12" ht="18.75" customHeight="1" x14ac:dyDescent="0.25">
      <c r="A33" s="24">
        <v>12</v>
      </c>
      <c r="B33" s="48" t="s">
        <v>46</v>
      </c>
      <c r="C33" s="48"/>
      <c r="D33" s="48"/>
      <c r="E33" s="48"/>
      <c r="F33" s="48"/>
      <c r="G33" s="49">
        <v>84578.42</v>
      </c>
      <c r="H33" s="49"/>
      <c r="I33" s="32"/>
      <c r="J33" s="21"/>
      <c r="L33" s="15"/>
    </row>
    <row r="34" spans="1:12" ht="25.5" customHeight="1" x14ac:dyDescent="0.25">
      <c r="A34" s="24">
        <v>13</v>
      </c>
      <c r="B34" s="48" t="s">
        <v>47</v>
      </c>
      <c r="C34" s="48"/>
      <c r="D34" s="48"/>
      <c r="E34" s="48"/>
      <c r="F34" s="48"/>
      <c r="G34" s="49">
        <f>ROUND(SUM(G32:H33),2)</f>
        <v>422892.09</v>
      </c>
      <c r="H34" s="49"/>
      <c r="L34" s="15"/>
    </row>
    <row r="35" spans="1:12" ht="20.25" customHeight="1" x14ac:dyDescent="0.25">
      <c r="A35" s="24">
        <v>14</v>
      </c>
      <c r="B35" s="48" t="s">
        <v>48</v>
      </c>
      <c r="C35" s="48"/>
      <c r="D35" s="48"/>
      <c r="E35" s="48"/>
      <c r="F35" s="48"/>
      <c r="G35" s="49">
        <f>G34*0.2</f>
        <v>84578.418000000005</v>
      </c>
      <c r="H35" s="49"/>
      <c r="L35" s="15"/>
    </row>
    <row r="36" spans="1:12" ht="25.5" customHeight="1" x14ac:dyDescent="0.25">
      <c r="A36" s="33">
        <v>15</v>
      </c>
      <c r="B36" s="51" t="s">
        <v>49</v>
      </c>
      <c r="C36" s="51"/>
      <c r="D36" s="51"/>
      <c r="E36" s="51"/>
      <c r="F36" s="51"/>
      <c r="G36" s="52">
        <f>ROUND(G34+G35,2)</f>
        <v>507470.51</v>
      </c>
      <c r="H36" s="52"/>
      <c r="L36" s="15"/>
    </row>
    <row r="37" spans="1:12" ht="20.25" customHeight="1" x14ac:dyDescent="0.25">
      <c r="A37" s="53" t="s">
        <v>50</v>
      </c>
      <c r="B37" s="53"/>
      <c r="C37" s="53"/>
      <c r="D37" s="53"/>
      <c r="E37" s="53"/>
      <c r="F37" s="53"/>
      <c r="G37" s="53"/>
      <c r="H37" s="53"/>
      <c r="L37" s="15"/>
    </row>
    <row r="38" spans="1:12" ht="20.25" customHeight="1" x14ac:dyDescent="0.25">
      <c r="A38" s="34"/>
      <c r="B38" s="34"/>
      <c r="C38" s="35"/>
      <c r="D38" s="35"/>
      <c r="E38" s="35"/>
      <c r="F38" s="36"/>
      <c r="G38" s="36"/>
      <c r="H38" s="36"/>
      <c r="L38" s="15"/>
    </row>
    <row r="39" spans="1:12" ht="33" customHeight="1" x14ac:dyDescent="0.25">
      <c r="A39" s="54" t="s">
        <v>51</v>
      </c>
      <c r="B39" s="54"/>
      <c r="C39" s="54"/>
      <c r="D39" s="54"/>
      <c r="E39" s="54"/>
      <c r="F39" s="54"/>
      <c r="G39" s="54"/>
      <c r="H39" s="54"/>
      <c r="L39" s="15"/>
    </row>
    <row r="40" spans="1:12" ht="33" customHeight="1" x14ac:dyDescent="0.25">
      <c r="A40" s="37"/>
      <c r="B40" s="37"/>
      <c r="C40" s="37"/>
      <c r="D40" s="37"/>
      <c r="E40" s="37"/>
      <c r="F40" s="37"/>
      <c r="G40" s="37"/>
      <c r="H40" s="37"/>
      <c r="L40" s="15"/>
    </row>
    <row r="41" spans="1:12" ht="54.4" customHeight="1" x14ac:dyDescent="0.25">
      <c r="A41" s="37"/>
      <c r="B41" s="55" t="s">
        <v>52</v>
      </c>
      <c r="C41" s="55"/>
      <c r="D41" s="55"/>
      <c r="E41" s="56" t="s">
        <v>53</v>
      </c>
      <c r="F41" s="56"/>
      <c r="G41" s="57" t="s">
        <v>54</v>
      </c>
      <c r="H41" s="57"/>
      <c r="L41" s="15"/>
    </row>
    <row r="42" spans="1:12" ht="84.4" customHeight="1" x14ac:dyDescent="0.25">
      <c r="A42" s="37"/>
      <c r="B42" s="55" t="s">
        <v>55</v>
      </c>
      <c r="C42" s="55"/>
      <c r="D42" s="55"/>
      <c r="E42" s="56" t="s">
        <v>53</v>
      </c>
      <c r="F42" s="56"/>
      <c r="G42" s="57" t="s">
        <v>56</v>
      </c>
      <c r="H42" s="57"/>
      <c r="L42" s="15"/>
    </row>
    <row r="43" spans="1:12" ht="84.4" customHeight="1" x14ac:dyDescent="0.25">
      <c r="A43" s="37"/>
      <c r="B43" s="58" t="s">
        <v>57</v>
      </c>
      <c r="C43" s="58"/>
      <c r="D43" s="38"/>
      <c r="E43" s="56" t="s">
        <v>53</v>
      </c>
      <c r="F43" s="56"/>
      <c r="G43" s="57" t="s">
        <v>58</v>
      </c>
      <c r="H43" s="57"/>
      <c r="L43" s="15"/>
    </row>
    <row r="44" spans="1:12" ht="107.45" customHeight="1" x14ac:dyDescent="0.25">
      <c r="A44" s="37"/>
      <c r="B44" s="55" t="s">
        <v>59</v>
      </c>
      <c r="C44" s="55"/>
      <c r="D44" s="55"/>
      <c r="E44" s="56" t="s">
        <v>53</v>
      </c>
      <c r="F44" s="56"/>
      <c r="G44" s="57" t="s">
        <v>60</v>
      </c>
      <c r="H44" s="57"/>
      <c r="L44" s="15"/>
    </row>
    <row r="45" spans="1:12" ht="33" customHeight="1" x14ac:dyDescent="0.25">
      <c r="A45" s="37"/>
      <c r="B45" s="59"/>
      <c r="C45" s="59"/>
      <c r="D45" s="59"/>
      <c r="E45" s="37"/>
      <c r="F45" s="37"/>
      <c r="G45" s="37"/>
      <c r="H45" s="37"/>
      <c r="L45" s="15"/>
    </row>
    <row r="46" spans="1:12" ht="33" customHeight="1" x14ac:dyDescent="0.25">
      <c r="A46" s="37"/>
      <c r="B46" s="60" t="s">
        <v>61</v>
      </c>
      <c r="C46" s="60"/>
      <c r="D46" s="37"/>
      <c r="E46" s="37" t="s">
        <v>62</v>
      </c>
      <c r="F46" s="39" t="s">
        <v>62</v>
      </c>
      <c r="G46" s="39"/>
      <c r="H46" s="39"/>
      <c r="J46" s="40"/>
      <c r="L46" s="15"/>
    </row>
    <row r="47" spans="1:12" x14ac:dyDescent="0.25">
      <c r="A47" s="37"/>
      <c r="B47" s="41"/>
      <c r="C47" s="41"/>
      <c r="D47" s="41"/>
      <c r="E47" s="42"/>
      <c r="F47" s="43" t="s">
        <v>63</v>
      </c>
      <c r="G47" s="44"/>
      <c r="H47" s="44"/>
    </row>
    <row r="48" spans="1:12" x14ac:dyDescent="0.25">
      <c r="A48" s="45"/>
      <c r="B48" s="45"/>
      <c r="C48" s="45"/>
      <c r="D48" s="45"/>
      <c r="E48" s="45"/>
      <c r="F48" s="45"/>
      <c r="G48" s="45"/>
      <c r="H48" s="45"/>
    </row>
  </sheetData>
  <mergeCells count="80">
    <mergeCell ref="B44:D44"/>
    <mergeCell ref="E44:F44"/>
    <mergeCell ref="G44:H44"/>
    <mergeCell ref="B45:D45"/>
    <mergeCell ref="B46:C46"/>
    <mergeCell ref="B42:D42"/>
    <mergeCell ref="E42:F42"/>
    <mergeCell ref="G42:H42"/>
    <mergeCell ref="B43:C43"/>
    <mergeCell ref="E43:F43"/>
    <mergeCell ref="G43:H43"/>
    <mergeCell ref="A37:H37"/>
    <mergeCell ref="A39:H39"/>
    <mergeCell ref="B41:D41"/>
    <mergeCell ref="E41:F41"/>
    <mergeCell ref="G41:H41"/>
    <mergeCell ref="B34:F34"/>
    <mergeCell ref="G34:H34"/>
    <mergeCell ref="B35:F35"/>
    <mergeCell ref="G35:H35"/>
    <mergeCell ref="B36:F36"/>
    <mergeCell ref="G36:H36"/>
    <mergeCell ref="B31:F31"/>
    <mergeCell ref="G31:H31"/>
    <mergeCell ref="B32:F32"/>
    <mergeCell ref="G32:H32"/>
    <mergeCell ref="B33:F33"/>
    <mergeCell ref="G33:H33"/>
    <mergeCell ref="B28:F28"/>
    <mergeCell ref="G28:H28"/>
    <mergeCell ref="B29:F29"/>
    <mergeCell ref="G29:H29"/>
    <mergeCell ref="B30:F30"/>
    <mergeCell ref="G30:H30"/>
    <mergeCell ref="B25:F25"/>
    <mergeCell ref="G25:H25"/>
    <mergeCell ref="B26:F26"/>
    <mergeCell ref="G26:H26"/>
    <mergeCell ref="B27:F27"/>
    <mergeCell ref="G27:H27"/>
    <mergeCell ref="B22:F22"/>
    <mergeCell ref="G22:H22"/>
    <mergeCell ref="B23:F23"/>
    <mergeCell ref="G23:H23"/>
    <mergeCell ref="B24:F24"/>
    <mergeCell ref="G24:H24"/>
    <mergeCell ref="B19:F19"/>
    <mergeCell ref="G19:H19"/>
    <mergeCell ref="B20:F20"/>
    <mergeCell ref="G20:H20"/>
    <mergeCell ref="B21:F21"/>
    <mergeCell ref="G21:H21"/>
    <mergeCell ref="B16:F16"/>
    <mergeCell ref="G16:H16"/>
    <mergeCell ref="B17:F17"/>
    <mergeCell ref="G17:H17"/>
    <mergeCell ref="B18:F18"/>
    <mergeCell ref="G18:H18"/>
    <mergeCell ref="B13:F13"/>
    <mergeCell ref="G13:H13"/>
    <mergeCell ref="B14:F14"/>
    <mergeCell ref="G14:H14"/>
    <mergeCell ref="B15:F15"/>
    <mergeCell ref="G15:H15"/>
    <mergeCell ref="A9:B10"/>
    <mergeCell ref="C9:H9"/>
    <mergeCell ref="C10:H10"/>
    <mergeCell ref="A11:H11"/>
    <mergeCell ref="B12:F12"/>
    <mergeCell ref="G12:H12"/>
    <mergeCell ref="A2:H2"/>
    <mergeCell ref="A4:H4"/>
    <mergeCell ref="A5:H5"/>
    <mergeCell ref="A6:B8"/>
    <mergeCell ref="C6:D6"/>
    <mergeCell ref="E6:H6"/>
    <mergeCell ref="C7:D7"/>
    <mergeCell ref="E7:H7"/>
    <mergeCell ref="C8:D8"/>
    <mergeCell ref="E8:H8"/>
  </mergeCells>
  <dataValidations count="1">
    <dataValidation type="list" allowBlank="1" showInputMessage="1" showErrorMessage="1" sqref="E8:H8">
      <formula1>$M$1:$M$10</formula1>
      <formula2>0</formula2>
    </dataValidation>
  </dataValidations>
  <printOptions horizontalCentered="1"/>
  <pageMargins left="0.70833333333333304" right="0.31527777777777799" top="0.31527777777777799" bottom="0.27569444444444402" header="0.511811023622047" footer="0.511811023622047"/>
  <pageSetup paperSize="9" scale="47" orientation="portrait" horizontalDpi="300" verticalDpi="300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386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Для подписания</vt:lpstr>
      <vt:lpstr>'Для подписания'!Область_печати</vt:lpstr>
    </vt:vector>
  </TitlesOfParts>
  <Company>Kraftway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Потураева Людмила Алексеевна</dc:creator>
  <dc:description/>
  <cp:lastModifiedBy>Хакимжанова Евгения Игоревна</cp:lastModifiedBy>
  <cp:revision>78</cp:revision>
  <cp:lastPrinted>2025-10-10T09:18:58Z</cp:lastPrinted>
  <dcterms:created xsi:type="dcterms:W3CDTF">2017-01-20T06:25:14Z</dcterms:created>
  <dcterms:modified xsi:type="dcterms:W3CDTF">2025-10-22T04:39:05Z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0x010100A4F92DFB2D7AE34AB5ED969045F7C917</vt:lpwstr>
  </property>
</Properties>
</file>